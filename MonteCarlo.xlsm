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e7bb2393f2f09c0/Desktop/ExcelCrap/"/>
    </mc:Choice>
  </mc:AlternateContent>
  <xr:revisionPtr revIDLastSave="30" documentId="14_{9638EDCA-0C35-43CC-A54F-A8CBAC0F97F5}" xr6:coauthVersionLast="45" xr6:coauthVersionMax="45" xr10:uidLastSave="{2EB37808-EED5-4F1D-A432-7A354F954236}"/>
  <bookViews>
    <workbookView xWindow="2232" yWindow="1668" windowWidth="18504" windowHeight="12408" xr2:uid="{AEF81866-8E56-48B9-9E9F-223356250D8D}"/>
  </bookViews>
  <sheets>
    <sheet name="About" sheetId="2" r:id="rId1"/>
    <sheet name="Main" sheetId="1" r:id="rId2"/>
  </sheets>
  <definedNames>
    <definedName name="rand_profits">Main!$I$4:$I$503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9" i="1" l="1"/>
  <c r="E9" i="1"/>
  <c r="C9" i="1"/>
  <c r="F9" i="1" l="1"/>
  <c r="I4" i="1" s="1"/>
  <c r="C17" i="1" s="1"/>
  <c r="C15" i="1" l="1"/>
  <c r="C14" i="1"/>
  <c r="C12" i="1"/>
  <c r="C13" i="1"/>
</calcChain>
</file>

<file path=xl/sharedStrings.xml><?xml version="1.0" encoding="utf-8"?>
<sst xmlns="http://schemas.openxmlformats.org/spreadsheetml/2006/main" count="21" uniqueCount="19">
  <si>
    <t>Reveue</t>
  </si>
  <si>
    <t>FC</t>
  </si>
  <si>
    <t>VC</t>
  </si>
  <si>
    <t>Expected</t>
  </si>
  <si>
    <t>FirstSimulation</t>
  </si>
  <si>
    <t>mean</t>
  </si>
  <si>
    <t>sd</t>
  </si>
  <si>
    <t>min</t>
  </si>
  <si>
    <t>max</t>
  </si>
  <si>
    <t>Profit</t>
  </si>
  <si>
    <t>Trial</t>
  </si>
  <si>
    <t>risk of loss</t>
  </si>
  <si>
    <t>https://www.youtube.com/watch?v=HwVBi--mE4M</t>
  </si>
  <si>
    <t>P&amp;L Monte Carlo</t>
  </si>
  <si>
    <t>Click on 'Main' tab below to use this simulation.</t>
  </si>
  <si>
    <t>Input</t>
  </si>
  <si>
    <t>Output</t>
  </si>
  <si>
    <t>With thanks to Maggie Winslow:</t>
  </si>
  <si>
    <t>Charles Becker (c.l.becker@outlook.com)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</si>
</sst>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5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u/>
      <sz val="10"/>
      <color theme="10"/>
      <name val="Arial"/>
      <family val="2"/>
    </font>
    <font>
      <sz val="14"/>
      <color theme="1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right"/>
    </xf>
    <xf numFmtId="164" fontId="0" fillId="0" borderId="0" xfId="1" applyNumberFormat="1" applyFont="1"/>
    <xf numFmtId="0" fontId="2" fillId="0" borderId="0" xfId="3"/>
    <xf numFmtId="164" fontId="0" fillId="0" borderId="0" xfId="0" applyNumberFormat="1" applyFill="1"/>
    <xf numFmtId="164" fontId="0" fillId="2" borderId="0" xfId="1" applyNumberFormat="1" applyFont="1" applyFill="1"/>
    <xf numFmtId="164" fontId="0" fillId="3" borderId="0" xfId="1" applyNumberFormat="1" applyFont="1" applyFill="1"/>
    <xf numFmtId="0" fontId="0" fillId="3" borderId="0" xfId="0" applyFill="1"/>
    <xf numFmtId="9" fontId="0" fillId="3" borderId="0" xfId="2" applyFont="1" applyFill="1"/>
    <xf numFmtId="14" fontId="0" fillId="0" borderId="0" xfId="0" applyNumberForma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" fontId="0" fillId="0" borderId="0" xfId="0" applyNumberFormat="1"/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12</xdr:row>
          <xdr:rowOff>15240</xdr:rowOff>
        </xdr:from>
        <xdr:to>
          <xdr:col>6</xdr:col>
          <xdr:colOff>152400</xdr:colOff>
          <xdr:row>14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watch?v=HwVBi--mE4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7A52B-507B-44B2-ABBF-620E8D539E89}">
  <sheetPr codeName="Sheet1"/>
  <dimension ref="D6:I13"/>
  <sheetViews>
    <sheetView showGridLines="0" showRowColHeaders="0" tabSelected="1" workbookViewId="0">
      <selection activeCell="I7" sqref="I7"/>
    </sheetView>
  </sheetViews>
  <sheetFormatPr defaultRowHeight="13.2" x14ac:dyDescent="0.25"/>
  <cols>
    <col min="8" max="8" width="6.109375" customWidth="1"/>
    <col min="9" max="9" width="40.109375" customWidth="1"/>
  </cols>
  <sheetData>
    <row r="6" spans="4:9" ht="17.399999999999999" x14ac:dyDescent="0.3">
      <c r="I6" s="10" t="s">
        <v>13</v>
      </c>
    </row>
    <row r="7" spans="4:9" x14ac:dyDescent="0.25">
      <c r="I7" s="11" t="s">
        <v>14</v>
      </c>
    </row>
    <row r="8" spans="4:9" x14ac:dyDescent="0.25">
      <c r="D8" t="s">
        <v>18</v>
      </c>
      <c r="I8" s="12" t="s">
        <v>15</v>
      </c>
    </row>
    <row r="9" spans="4:9" x14ac:dyDescent="0.25">
      <c r="D9" s="9">
        <v>43928</v>
      </c>
      <c r="I9" s="13" t="s">
        <v>16</v>
      </c>
    </row>
    <row r="10" spans="4:9" x14ac:dyDescent="0.25">
      <c r="H10" s="14"/>
    </row>
    <row r="12" spans="4:9" x14ac:dyDescent="0.25">
      <c r="D12" t="s">
        <v>17</v>
      </c>
    </row>
    <row r="13" spans="4:9" x14ac:dyDescent="0.25">
      <c r="D13" s="3" t="s">
        <v>12</v>
      </c>
    </row>
  </sheetData>
  <hyperlinks>
    <hyperlink ref="D13" r:id="rId1" xr:uid="{13E55B12-F4F5-4EAD-8CCB-20A9437C382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C19E4-E737-4DF0-87AA-066EA63B6977}">
  <sheetPr codeName="Sheet2"/>
  <dimension ref="B3:I503"/>
  <sheetViews>
    <sheetView workbookViewId="0">
      <selection activeCell="C7" sqref="C7"/>
    </sheetView>
  </sheetViews>
  <sheetFormatPr defaultRowHeight="13.2" x14ac:dyDescent="0.25"/>
  <cols>
    <col min="2" max="2" width="16.44140625" customWidth="1"/>
    <col min="3" max="3" width="12.44140625" bestFit="1" customWidth="1"/>
    <col min="4" max="4" width="11.44140625" bestFit="1" customWidth="1"/>
    <col min="5" max="5" width="12.44140625" bestFit="1" customWidth="1"/>
    <col min="9" max="9" width="8.88671875" style="15"/>
  </cols>
  <sheetData>
    <row r="3" spans="2:9" x14ac:dyDescent="0.25">
      <c r="H3" t="s">
        <v>10</v>
      </c>
      <c r="I3" s="15" t="s">
        <v>9</v>
      </c>
    </row>
    <row r="4" spans="2:9" x14ac:dyDescent="0.25">
      <c r="H4">
        <v>1</v>
      </c>
      <c r="I4" s="15">
        <f ca="1">F9</f>
        <v>25670.527413266158</v>
      </c>
    </row>
    <row r="5" spans="2:9" x14ac:dyDescent="0.25">
      <c r="C5" s="1" t="s">
        <v>0</v>
      </c>
      <c r="D5" s="1" t="s">
        <v>1</v>
      </c>
      <c r="E5" s="1" t="s">
        <v>2</v>
      </c>
      <c r="H5">
        <v>2</v>
      </c>
      <c r="I5" s="15">
        <f t="dataTable" ref="I5:I503" dt2D="0" dtr="0" r1="G9" ca="1"/>
        <v>25554.010991985793</v>
      </c>
    </row>
    <row r="6" spans="2:9" x14ac:dyDescent="0.25">
      <c r="B6" t="s">
        <v>3</v>
      </c>
      <c r="C6" s="5">
        <v>194500</v>
      </c>
      <c r="D6" s="5">
        <v>60000</v>
      </c>
      <c r="E6" s="5">
        <v>100000</v>
      </c>
      <c r="H6">
        <v>3</v>
      </c>
      <c r="I6" s="15">
        <v>85264.425171899115</v>
      </c>
    </row>
    <row r="7" spans="2:9" x14ac:dyDescent="0.25">
      <c r="B7" t="s">
        <v>6</v>
      </c>
      <c r="C7" s="5">
        <v>15000</v>
      </c>
      <c r="D7" s="5">
        <v>4000</v>
      </c>
      <c r="E7" s="5">
        <v>40000</v>
      </c>
      <c r="H7">
        <v>4</v>
      </c>
      <c r="I7" s="15">
        <v>24076.912685301446</v>
      </c>
    </row>
    <row r="8" spans="2:9" x14ac:dyDescent="0.25">
      <c r="C8" s="2"/>
      <c r="D8" s="2"/>
      <c r="E8" s="2"/>
      <c r="F8" s="1" t="s">
        <v>9</v>
      </c>
      <c r="H8">
        <v>5</v>
      </c>
      <c r="I8" s="15">
        <v>-74965.827997673099</v>
      </c>
    </row>
    <row r="9" spans="2:9" x14ac:dyDescent="0.25">
      <c r="B9" t="s">
        <v>4</v>
      </c>
      <c r="C9" s="2">
        <f ca="1">_xlfn.NORM.INV(RAND(),C6,C7)</f>
        <v>198211.76016736089</v>
      </c>
      <c r="D9" s="2">
        <f ca="1">_xlfn.NORM.INV(RAND(),D6,D7)</f>
        <v>63421.014600417613</v>
      </c>
      <c r="E9" s="2">
        <f ca="1">_xlfn.NORM.INV(RAND(),E6,E7)</f>
        <v>109120.21815367711</v>
      </c>
      <c r="F9" s="4">
        <f ca="1">C9-(D9+E9)</f>
        <v>25670.527413266158</v>
      </c>
      <c r="H9">
        <v>6</v>
      </c>
      <c r="I9" s="15">
        <v>18625.427536869887</v>
      </c>
    </row>
    <row r="10" spans="2:9" x14ac:dyDescent="0.25">
      <c r="H10">
        <v>7</v>
      </c>
      <c r="I10" s="15">
        <v>32488.396784070123</v>
      </c>
    </row>
    <row r="11" spans="2:9" x14ac:dyDescent="0.25">
      <c r="H11">
        <v>8</v>
      </c>
      <c r="I11" s="15">
        <v>-13181.894689213572</v>
      </c>
    </row>
    <row r="12" spans="2:9" x14ac:dyDescent="0.25">
      <c r="B12" t="s">
        <v>5</v>
      </c>
      <c r="C12" s="6">
        <f ca="1">AVERAGE(rand_profits)</f>
        <v>34140.457969240466</v>
      </c>
      <c r="H12">
        <v>9</v>
      </c>
      <c r="I12" s="15">
        <v>15372.755632961635</v>
      </c>
    </row>
    <row r="13" spans="2:9" x14ac:dyDescent="0.25">
      <c r="B13" t="s">
        <v>6</v>
      </c>
      <c r="C13" s="6">
        <f ca="1">STDEV(rand_profits)</f>
        <v>41939.457741470542</v>
      </c>
      <c r="H13">
        <v>10</v>
      </c>
      <c r="I13" s="15">
        <v>68455.025936673832</v>
      </c>
    </row>
    <row r="14" spans="2:9" x14ac:dyDescent="0.25">
      <c r="B14" t="s">
        <v>7</v>
      </c>
      <c r="C14" s="6">
        <f ca="1">MIN(rand_profits)</f>
        <v>-100792.46920087779</v>
      </c>
      <c r="H14">
        <v>11</v>
      </c>
      <c r="I14" s="15">
        <v>12884.82229879545</v>
      </c>
    </row>
    <row r="15" spans="2:9" x14ac:dyDescent="0.25">
      <c r="B15" t="s">
        <v>8</v>
      </c>
      <c r="C15" s="6">
        <f ca="1">MAX(rand_profits)</f>
        <v>158873.07908118103</v>
      </c>
      <c r="H15">
        <v>12</v>
      </c>
      <c r="I15" s="15">
        <v>28116.5969750277</v>
      </c>
    </row>
    <row r="16" spans="2:9" x14ac:dyDescent="0.25">
      <c r="C16" s="7"/>
      <c r="H16">
        <v>13</v>
      </c>
      <c r="I16" s="15">
        <v>-5651.2286596912309</v>
      </c>
    </row>
    <row r="17" spans="2:9" x14ac:dyDescent="0.25">
      <c r="B17" t="s">
        <v>11</v>
      </c>
      <c r="C17" s="8">
        <f ca="1">COUNTIF(rand_profits, "&lt;0")/COUNT(rand_profits)</f>
        <v>0.218</v>
      </c>
      <c r="H17">
        <v>14</v>
      </c>
      <c r="I17" s="15">
        <v>62929.992801188055</v>
      </c>
    </row>
    <row r="18" spans="2:9" x14ac:dyDescent="0.25">
      <c r="H18">
        <v>15</v>
      </c>
      <c r="I18" s="15">
        <v>85547.685551410279</v>
      </c>
    </row>
    <row r="19" spans="2:9" x14ac:dyDescent="0.25">
      <c r="H19">
        <v>16</v>
      </c>
      <c r="I19" s="15">
        <v>155307.98233672476</v>
      </c>
    </row>
    <row r="20" spans="2:9" x14ac:dyDescent="0.25">
      <c r="H20">
        <v>17</v>
      </c>
      <c r="I20" s="15">
        <v>-43752.768497172481</v>
      </c>
    </row>
    <row r="21" spans="2:9" x14ac:dyDescent="0.25">
      <c r="H21">
        <v>18</v>
      </c>
      <c r="I21" s="15">
        <v>57440.626381432696</v>
      </c>
    </row>
    <row r="22" spans="2:9" x14ac:dyDescent="0.25">
      <c r="H22">
        <v>19</v>
      </c>
      <c r="I22" s="15">
        <v>55582.905675583344</v>
      </c>
    </row>
    <row r="23" spans="2:9" x14ac:dyDescent="0.25">
      <c r="H23">
        <v>20</v>
      </c>
      <c r="I23" s="15">
        <v>22854.639319101785</v>
      </c>
    </row>
    <row r="24" spans="2:9" x14ac:dyDescent="0.25">
      <c r="H24">
        <v>21</v>
      </c>
      <c r="I24" s="15">
        <v>77549.317044639029</v>
      </c>
    </row>
    <row r="25" spans="2:9" x14ac:dyDescent="0.25">
      <c r="H25">
        <v>22</v>
      </c>
      <c r="I25" s="15">
        <v>13846.003206388152</v>
      </c>
    </row>
    <row r="26" spans="2:9" x14ac:dyDescent="0.25">
      <c r="H26">
        <v>23</v>
      </c>
      <c r="I26" s="15">
        <v>9898.5509678686794</v>
      </c>
    </row>
    <row r="27" spans="2:9" x14ac:dyDescent="0.25">
      <c r="H27">
        <v>24</v>
      </c>
      <c r="I27" s="15">
        <v>22285.917280897498</v>
      </c>
    </row>
    <row r="28" spans="2:9" x14ac:dyDescent="0.25">
      <c r="H28">
        <v>25</v>
      </c>
      <c r="I28" s="15">
        <v>-22152.024422513059</v>
      </c>
    </row>
    <row r="29" spans="2:9" x14ac:dyDescent="0.25">
      <c r="H29">
        <v>26</v>
      </c>
      <c r="I29" s="15">
        <v>55185.525747480206</v>
      </c>
    </row>
    <row r="30" spans="2:9" x14ac:dyDescent="0.25">
      <c r="H30">
        <v>27</v>
      </c>
      <c r="I30" s="15">
        <v>123560.31765369371</v>
      </c>
    </row>
    <row r="31" spans="2:9" x14ac:dyDescent="0.25">
      <c r="H31">
        <v>28</v>
      </c>
      <c r="I31" s="15">
        <v>52379.352701346274</v>
      </c>
    </row>
    <row r="32" spans="2:9" x14ac:dyDescent="0.25">
      <c r="H32">
        <v>29</v>
      </c>
      <c r="I32" s="15">
        <v>23959.380397325556</v>
      </c>
    </row>
    <row r="33" spans="8:9" x14ac:dyDescent="0.25">
      <c r="H33">
        <v>30</v>
      </c>
      <c r="I33" s="15">
        <v>799.34020197112113</v>
      </c>
    </row>
    <row r="34" spans="8:9" x14ac:dyDescent="0.25">
      <c r="H34">
        <v>31</v>
      </c>
      <c r="I34" s="15">
        <v>41518.866563705233</v>
      </c>
    </row>
    <row r="35" spans="8:9" x14ac:dyDescent="0.25">
      <c r="H35">
        <v>32</v>
      </c>
      <c r="I35" s="15">
        <v>49710.966839865519</v>
      </c>
    </row>
    <row r="36" spans="8:9" x14ac:dyDescent="0.25">
      <c r="H36">
        <v>33</v>
      </c>
      <c r="I36" s="15">
        <v>125174.12151262848</v>
      </c>
    </row>
    <row r="37" spans="8:9" x14ac:dyDescent="0.25">
      <c r="H37">
        <v>34</v>
      </c>
      <c r="I37" s="15">
        <v>3811.357682328613</v>
      </c>
    </row>
    <row r="38" spans="8:9" x14ac:dyDescent="0.25">
      <c r="H38">
        <v>35</v>
      </c>
      <c r="I38" s="15">
        <v>36103.896202037518</v>
      </c>
    </row>
    <row r="39" spans="8:9" x14ac:dyDescent="0.25">
      <c r="H39">
        <v>36</v>
      </c>
      <c r="I39" s="15">
        <v>-23313.28947938612</v>
      </c>
    </row>
    <row r="40" spans="8:9" x14ac:dyDescent="0.25">
      <c r="H40">
        <v>37</v>
      </c>
      <c r="I40" s="15">
        <v>-5393.0121618004632</v>
      </c>
    </row>
    <row r="41" spans="8:9" x14ac:dyDescent="0.25">
      <c r="H41">
        <v>38</v>
      </c>
      <c r="I41" s="15">
        <v>61439.322395938885</v>
      </c>
    </row>
    <row r="42" spans="8:9" x14ac:dyDescent="0.25">
      <c r="H42">
        <v>39</v>
      </c>
      <c r="I42" s="15">
        <v>23534.590816505137</v>
      </c>
    </row>
    <row r="43" spans="8:9" x14ac:dyDescent="0.25">
      <c r="H43">
        <v>40</v>
      </c>
      <c r="I43" s="15">
        <v>61776.233516037697</v>
      </c>
    </row>
    <row r="44" spans="8:9" x14ac:dyDescent="0.25">
      <c r="H44">
        <v>41</v>
      </c>
      <c r="I44" s="15">
        <v>113870.88892950292</v>
      </c>
    </row>
    <row r="45" spans="8:9" x14ac:dyDescent="0.25">
      <c r="H45">
        <v>42</v>
      </c>
      <c r="I45" s="15">
        <v>57054.509219351428</v>
      </c>
    </row>
    <row r="46" spans="8:9" x14ac:dyDescent="0.25">
      <c r="H46">
        <v>43</v>
      </c>
      <c r="I46" s="15">
        <v>-8031.5744424858131</v>
      </c>
    </row>
    <row r="47" spans="8:9" x14ac:dyDescent="0.25">
      <c r="H47">
        <v>44</v>
      </c>
      <c r="I47" s="15">
        <v>9753.3690424195083</v>
      </c>
    </row>
    <row r="48" spans="8:9" x14ac:dyDescent="0.25">
      <c r="H48">
        <v>45</v>
      </c>
      <c r="I48" s="15">
        <v>54326.96263018914</v>
      </c>
    </row>
    <row r="49" spans="8:9" x14ac:dyDescent="0.25">
      <c r="H49">
        <v>46</v>
      </c>
      <c r="I49" s="15">
        <v>4121.1746635516756</v>
      </c>
    </row>
    <row r="50" spans="8:9" x14ac:dyDescent="0.25">
      <c r="H50">
        <v>47</v>
      </c>
      <c r="I50" s="15">
        <v>24448.641623135103</v>
      </c>
    </row>
    <row r="51" spans="8:9" x14ac:dyDescent="0.25">
      <c r="H51">
        <v>48</v>
      </c>
      <c r="I51" s="15">
        <v>37393.0320452124</v>
      </c>
    </row>
    <row r="52" spans="8:9" x14ac:dyDescent="0.25">
      <c r="H52">
        <v>49</v>
      </c>
      <c r="I52" s="15">
        <v>86381.020111754624</v>
      </c>
    </row>
    <row r="53" spans="8:9" x14ac:dyDescent="0.25">
      <c r="H53">
        <v>50</v>
      </c>
      <c r="I53" s="15">
        <v>11768.644832790247</v>
      </c>
    </row>
    <row r="54" spans="8:9" x14ac:dyDescent="0.25">
      <c r="H54">
        <v>51</v>
      </c>
      <c r="I54" s="15">
        <v>66684.161247528085</v>
      </c>
    </row>
    <row r="55" spans="8:9" x14ac:dyDescent="0.25">
      <c r="H55">
        <v>52</v>
      </c>
      <c r="I55" s="15">
        <v>-8475.8998741215328</v>
      </c>
    </row>
    <row r="56" spans="8:9" x14ac:dyDescent="0.25">
      <c r="H56">
        <v>53</v>
      </c>
      <c r="I56" s="15">
        <v>27737.866197163268</v>
      </c>
    </row>
    <row r="57" spans="8:9" x14ac:dyDescent="0.25">
      <c r="H57">
        <v>54</v>
      </c>
      <c r="I57" s="15">
        <v>-22958.047799065796</v>
      </c>
    </row>
    <row r="58" spans="8:9" x14ac:dyDescent="0.25">
      <c r="H58">
        <v>55</v>
      </c>
      <c r="I58" s="15">
        <v>31557.558833107818</v>
      </c>
    </row>
    <row r="59" spans="8:9" x14ac:dyDescent="0.25">
      <c r="H59">
        <v>56</v>
      </c>
      <c r="I59" s="15">
        <v>-21125.065151245071</v>
      </c>
    </row>
    <row r="60" spans="8:9" x14ac:dyDescent="0.25">
      <c r="H60">
        <v>57</v>
      </c>
      <c r="I60" s="15">
        <v>55024.966944044543</v>
      </c>
    </row>
    <row r="61" spans="8:9" x14ac:dyDescent="0.25">
      <c r="H61">
        <v>58</v>
      </c>
      <c r="I61" s="15">
        <v>46580.31807039713</v>
      </c>
    </row>
    <row r="62" spans="8:9" x14ac:dyDescent="0.25">
      <c r="H62">
        <v>59</v>
      </c>
      <c r="I62" s="15">
        <v>103566.68585239214</v>
      </c>
    </row>
    <row r="63" spans="8:9" x14ac:dyDescent="0.25">
      <c r="H63">
        <v>60</v>
      </c>
      <c r="I63" s="15">
        <v>-54657.772581139288</v>
      </c>
    </row>
    <row r="64" spans="8:9" x14ac:dyDescent="0.25">
      <c r="H64">
        <v>61</v>
      </c>
      <c r="I64" s="15">
        <v>76816.081979131821</v>
      </c>
    </row>
    <row r="65" spans="8:9" x14ac:dyDescent="0.25">
      <c r="H65">
        <v>62</v>
      </c>
      <c r="I65" s="15">
        <v>59621.538881934743</v>
      </c>
    </row>
    <row r="66" spans="8:9" x14ac:dyDescent="0.25">
      <c r="H66">
        <v>63</v>
      </c>
      <c r="I66" s="15">
        <v>20516.539180972322</v>
      </c>
    </row>
    <row r="67" spans="8:9" x14ac:dyDescent="0.25">
      <c r="H67">
        <v>64</v>
      </c>
      <c r="I67" s="15">
        <v>63793.398394153555</v>
      </c>
    </row>
    <row r="68" spans="8:9" x14ac:dyDescent="0.25">
      <c r="H68">
        <v>65</v>
      </c>
      <c r="I68" s="15">
        <v>38420.119888270216</v>
      </c>
    </row>
    <row r="69" spans="8:9" x14ac:dyDescent="0.25">
      <c r="H69">
        <v>66</v>
      </c>
      <c r="I69" s="15">
        <v>6039.0826162859157</v>
      </c>
    </row>
    <row r="70" spans="8:9" x14ac:dyDescent="0.25">
      <c r="H70">
        <v>67</v>
      </c>
      <c r="I70" s="15">
        <v>63496.378315838025</v>
      </c>
    </row>
    <row r="71" spans="8:9" x14ac:dyDescent="0.25">
      <c r="H71">
        <v>68</v>
      </c>
      <c r="I71" s="15">
        <v>-5446.5704450703925</v>
      </c>
    </row>
    <row r="72" spans="8:9" x14ac:dyDescent="0.25">
      <c r="H72">
        <v>69</v>
      </c>
      <c r="I72" s="15">
        <v>45918.943195352855</v>
      </c>
    </row>
    <row r="73" spans="8:9" x14ac:dyDescent="0.25">
      <c r="H73">
        <v>70</v>
      </c>
      <c r="I73" s="15">
        <v>-17903.677564198035</v>
      </c>
    </row>
    <row r="74" spans="8:9" x14ac:dyDescent="0.25">
      <c r="H74">
        <v>71</v>
      </c>
      <c r="I74" s="15">
        <v>-25180.065169754089</v>
      </c>
    </row>
    <row r="75" spans="8:9" x14ac:dyDescent="0.25">
      <c r="H75">
        <v>72</v>
      </c>
      <c r="I75" s="15">
        <v>-8637.0261120250798</v>
      </c>
    </row>
    <row r="76" spans="8:9" x14ac:dyDescent="0.25">
      <c r="H76">
        <v>73</v>
      </c>
      <c r="I76" s="15">
        <v>32953.33363649802</v>
      </c>
    </row>
    <row r="77" spans="8:9" x14ac:dyDescent="0.25">
      <c r="H77">
        <v>74</v>
      </c>
      <c r="I77" s="15">
        <v>48251.98175068917</v>
      </c>
    </row>
    <row r="78" spans="8:9" x14ac:dyDescent="0.25">
      <c r="H78">
        <v>75</v>
      </c>
      <c r="I78" s="15">
        <v>9339.9540515634872</v>
      </c>
    </row>
    <row r="79" spans="8:9" x14ac:dyDescent="0.25">
      <c r="H79">
        <v>76</v>
      </c>
      <c r="I79" s="15">
        <v>-4297.7650523812335</v>
      </c>
    </row>
    <row r="80" spans="8:9" x14ac:dyDescent="0.25">
      <c r="H80">
        <v>77</v>
      </c>
      <c r="I80" s="15">
        <v>35814.56126511714</v>
      </c>
    </row>
    <row r="81" spans="8:9" x14ac:dyDescent="0.25">
      <c r="H81">
        <v>78</v>
      </c>
      <c r="I81" s="15">
        <v>15175.742214350525</v>
      </c>
    </row>
    <row r="82" spans="8:9" x14ac:dyDescent="0.25">
      <c r="H82">
        <v>79</v>
      </c>
      <c r="I82" s="15">
        <v>-12076.412278552132</v>
      </c>
    </row>
    <row r="83" spans="8:9" x14ac:dyDescent="0.25">
      <c r="H83">
        <v>80</v>
      </c>
      <c r="I83" s="15">
        <v>31011.644264270115</v>
      </c>
    </row>
    <row r="84" spans="8:9" x14ac:dyDescent="0.25">
      <c r="H84">
        <v>81</v>
      </c>
      <c r="I84" s="15">
        <v>93330.577955452289</v>
      </c>
    </row>
    <row r="85" spans="8:9" x14ac:dyDescent="0.25">
      <c r="H85">
        <v>82</v>
      </c>
      <c r="I85" s="15">
        <v>37850.755707436474</v>
      </c>
    </row>
    <row r="86" spans="8:9" x14ac:dyDescent="0.25">
      <c r="H86">
        <v>83</v>
      </c>
      <c r="I86" s="15">
        <v>18384.783496766759</v>
      </c>
    </row>
    <row r="87" spans="8:9" x14ac:dyDescent="0.25">
      <c r="H87">
        <v>84</v>
      </c>
      <c r="I87" s="15">
        <v>-17841.323481221421</v>
      </c>
    </row>
    <row r="88" spans="8:9" x14ac:dyDescent="0.25">
      <c r="H88">
        <v>85</v>
      </c>
      <c r="I88" s="15">
        <v>2880.2450707005628</v>
      </c>
    </row>
    <row r="89" spans="8:9" x14ac:dyDescent="0.25">
      <c r="H89">
        <v>86</v>
      </c>
      <c r="I89" s="15">
        <v>15751.276195416285</v>
      </c>
    </row>
    <row r="90" spans="8:9" x14ac:dyDescent="0.25">
      <c r="H90">
        <v>87</v>
      </c>
      <c r="I90" s="15">
        <v>22074.547703291813</v>
      </c>
    </row>
    <row r="91" spans="8:9" x14ac:dyDescent="0.25">
      <c r="H91">
        <v>88</v>
      </c>
      <c r="I91" s="15">
        <v>92450.708466456592</v>
      </c>
    </row>
    <row r="92" spans="8:9" x14ac:dyDescent="0.25">
      <c r="H92">
        <v>89</v>
      </c>
      <c r="I92" s="15">
        <v>27767.783327973622</v>
      </c>
    </row>
    <row r="93" spans="8:9" x14ac:dyDescent="0.25">
      <c r="H93">
        <v>90</v>
      </c>
      <c r="I93" s="15">
        <v>145378.60240253754</v>
      </c>
    </row>
    <row r="94" spans="8:9" x14ac:dyDescent="0.25">
      <c r="H94">
        <v>91</v>
      </c>
      <c r="I94" s="15">
        <v>28291.042593878345</v>
      </c>
    </row>
    <row r="95" spans="8:9" x14ac:dyDescent="0.25">
      <c r="H95">
        <v>92</v>
      </c>
      <c r="I95" s="15">
        <v>-47341.964274526021</v>
      </c>
    </row>
    <row r="96" spans="8:9" x14ac:dyDescent="0.25">
      <c r="H96">
        <v>93</v>
      </c>
      <c r="I96" s="15">
        <v>25379.402090040472</v>
      </c>
    </row>
    <row r="97" spans="8:9" x14ac:dyDescent="0.25">
      <c r="H97">
        <v>94</v>
      </c>
      <c r="I97" s="15">
        <v>61201.453258748457</v>
      </c>
    </row>
    <row r="98" spans="8:9" x14ac:dyDescent="0.25">
      <c r="H98">
        <v>95</v>
      </c>
      <c r="I98" s="15">
        <v>40618.37055251046</v>
      </c>
    </row>
    <row r="99" spans="8:9" x14ac:dyDescent="0.25">
      <c r="H99">
        <v>96</v>
      </c>
      <c r="I99" s="15">
        <v>64162.12721453805</v>
      </c>
    </row>
    <row r="100" spans="8:9" x14ac:dyDescent="0.25">
      <c r="H100">
        <v>97</v>
      </c>
      <c r="I100" s="15">
        <v>54905.135147511493</v>
      </c>
    </row>
    <row r="101" spans="8:9" x14ac:dyDescent="0.25">
      <c r="H101">
        <v>98</v>
      </c>
      <c r="I101" s="15">
        <v>-87.855873225664254</v>
      </c>
    </row>
    <row r="102" spans="8:9" x14ac:dyDescent="0.25">
      <c r="H102">
        <v>99</v>
      </c>
      <c r="I102" s="15">
        <v>79804.129208860017</v>
      </c>
    </row>
    <row r="103" spans="8:9" x14ac:dyDescent="0.25">
      <c r="H103">
        <v>100</v>
      </c>
      <c r="I103" s="15">
        <v>-6525.802011577849</v>
      </c>
    </row>
    <row r="104" spans="8:9" x14ac:dyDescent="0.25">
      <c r="H104">
        <v>101</v>
      </c>
      <c r="I104" s="15">
        <v>48084.900788928207</v>
      </c>
    </row>
    <row r="105" spans="8:9" x14ac:dyDescent="0.25">
      <c r="H105">
        <v>102</v>
      </c>
      <c r="I105" s="15">
        <v>47255.493774210685</v>
      </c>
    </row>
    <row r="106" spans="8:9" x14ac:dyDescent="0.25">
      <c r="H106">
        <v>103</v>
      </c>
      <c r="I106" s="15">
        <v>3477.8206851724826</v>
      </c>
    </row>
    <row r="107" spans="8:9" x14ac:dyDescent="0.25">
      <c r="H107">
        <v>104</v>
      </c>
      <c r="I107" s="15">
        <v>-8665.5234302210447</v>
      </c>
    </row>
    <row r="108" spans="8:9" x14ac:dyDescent="0.25">
      <c r="H108">
        <v>105</v>
      </c>
      <c r="I108" s="15">
        <v>-36899.234012392699</v>
      </c>
    </row>
    <row r="109" spans="8:9" x14ac:dyDescent="0.25">
      <c r="H109">
        <v>106</v>
      </c>
      <c r="I109" s="15">
        <v>8274.7822291119373</v>
      </c>
    </row>
    <row r="110" spans="8:9" x14ac:dyDescent="0.25">
      <c r="H110">
        <v>107</v>
      </c>
      <c r="I110" s="15">
        <v>60206.802568061452</v>
      </c>
    </row>
    <row r="111" spans="8:9" x14ac:dyDescent="0.25">
      <c r="H111">
        <v>108</v>
      </c>
      <c r="I111" s="15">
        <v>25331.737128742505</v>
      </c>
    </row>
    <row r="112" spans="8:9" x14ac:dyDescent="0.25">
      <c r="H112">
        <v>109</v>
      </c>
      <c r="I112" s="15">
        <v>51864.76007698325</v>
      </c>
    </row>
    <row r="113" spans="8:9" x14ac:dyDescent="0.25">
      <c r="H113">
        <v>110</v>
      </c>
      <c r="I113" s="15">
        <v>71548.642268680487</v>
      </c>
    </row>
    <row r="114" spans="8:9" x14ac:dyDescent="0.25">
      <c r="H114">
        <v>111</v>
      </c>
      <c r="I114" s="15">
        <v>35160.172185662115</v>
      </c>
    </row>
    <row r="115" spans="8:9" x14ac:dyDescent="0.25">
      <c r="H115">
        <v>112</v>
      </c>
      <c r="I115" s="15">
        <v>55375.400025932409</v>
      </c>
    </row>
    <row r="116" spans="8:9" x14ac:dyDescent="0.25">
      <c r="H116">
        <v>113</v>
      </c>
      <c r="I116" s="15">
        <v>42890.895634100016</v>
      </c>
    </row>
    <row r="117" spans="8:9" x14ac:dyDescent="0.25">
      <c r="H117">
        <v>114</v>
      </c>
      <c r="I117" s="15">
        <v>56710.952937211463</v>
      </c>
    </row>
    <row r="118" spans="8:9" x14ac:dyDescent="0.25">
      <c r="H118">
        <v>115</v>
      </c>
      <c r="I118" s="15">
        <v>-7914.2252155312453</v>
      </c>
    </row>
    <row r="119" spans="8:9" x14ac:dyDescent="0.25">
      <c r="H119">
        <v>116</v>
      </c>
      <c r="I119" s="15">
        <v>90459.375300125801</v>
      </c>
    </row>
    <row r="120" spans="8:9" x14ac:dyDescent="0.25">
      <c r="H120">
        <v>117</v>
      </c>
      <c r="I120" s="15">
        <v>26200.756946623442</v>
      </c>
    </row>
    <row r="121" spans="8:9" x14ac:dyDescent="0.25">
      <c r="H121">
        <v>118</v>
      </c>
      <c r="I121" s="15">
        <v>124505.5175138543</v>
      </c>
    </row>
    <row r="122" spans="8:9" x14ac:dyDescent="0.25">
      <c r="H122">
        <v>119</v>
      </c>
      <c r="I122" s="15">
        <v>15873.420074073627</v>
      </c>
    </row>
    <row r="123" spans="8:9" x14ac:dyDescent="0.25">
      <c r="H123">
        <v>120</v>
      </c>
      <c r="I123" s="15">
        <v>51654.867992335174</v>
      </c>
    </row>
    <row r="124" spans="8:9" x14ac:dyDescent="0.25">
      <c r="H124">
        <v>121</v>
      </c>
      <c r="I124" s="15">
        <v>-6897.5208190118719</v>
      </c>
    </row>
    <row r="125" spans="8:9" x14ac:dyDescent="0.25">
      <c r="H125">
        <v>122</v>
      </c>
      <c r="I125" s="15">
        <v>32983.856120720273</v>
      </c>
    </row>
    <row r="126" spans="8:9" x14ac:dyDescent="0.25">
      <c r="H126">
        <v>123</v>
      </c>
      <c r="I126" s="15">
        <v>86711.118563948228</v>
      </c>
    </row>
    <row r="127" spans="8:9" x14ac:dyDescent="0.25">
      <c r="H127">
        <v>124</v>
      </c>
      <c r="I127" s="15">
        <v>-85429.267871825054</v>
      </c>
    </row>
    <row r="128" spans="8:9" x14ac:dyDescent="0.25">
      <c r="H128">
        <v>125</v>
      </c>
      <c r="I128" s="15">
        <v>21626.418946610531</v>
      </c>
    </row>
    <row r="129" spans="8:9" x14ac:dyDescent="0.25">
      <c r="H129">
        <v>126</v>
      </c>
      <c r="I129" s="15">
        <v>57728.016660446592</v>
      </c>
    </row>
    <row r="130" spans="8:9" x14ac:dyDescent="0.25">
      <c r="H130">
        <v>127</v>
      </c>
      <c r="I130" s="15">
        <v>54972.182181882294</v>
      </c>
    </row>
    <row r="131" spans="8:9" x14ac:dyDescent="0.25">
      <c r="H131">
        <v>128</v>
      </c>
      <c r="I131" s="15">
        <v>62442.681759058789</v>
      </c>
    </row>
    <row r="132" spans="8:9" x14ac:dyDescent="0.25">
      <c r="H132">
        <v>129</v>
      </c>
      <c r="I132" s="15">
        <v>34671.091438813775</v>
      </c>
    </row>
    <row r="133" spans="8:9" x14ac:dyDescent="0.25">
      <c r="H133">
        <v>130</v>
      </c>
      <c r="I133" s="15">
        <v>-72740.699149484804</v>
      </c>
    </row>
    <row r="134" spans="8:9" x14ac:dyDescent="0.25">
      <c r="H134">
        <v>131</v>
      </c>
      <c r="I134" s="15">
        <v>18584.038968082838</v>
      </c>
    </row>
    <row r="135" spans="8:9" x14ac:dyDescent="0.25">
      <c r="H135">
        <v>132</v>
      </c>
      <c r="I135" s="15">
        <v>49197.808315123286</v>
      </c>
    </row>
    <row r="136" spans="8:9" x14ac:dyDescent="0.25">
      <c r="H136">
        <v>133</v>
      </c>
      <c r="I136" s="15">
        <v>51585.111160064422</v>
      </c>
    </row>
    <row r="137" spans="8:9" x14ac:dyDescent="0.25">
      <c r="H137">
        <v>134</v>
      </c>
      <c r="I137" s="15">
        <v>102263.74988233265</v>
      </c>
    </row>
    <row r="138" spans="8:9" x14ac:dyDescent="0.25">
      <c r="H138">
        <v>135</v>
      </c>
      <c r="I138" s="15">
        <v>30105.897714543855</v>
      </c>
    </row>
    <row r="139" spans="8:9" x14ac:dyDescent="0.25">
      <c r="H139">
        <v>136</v>
      </c>
      <c r="I139" s="15">
        <v>69663.114944332832</v>
      </c>
    </row>
    <row r="140" spans="8:9" x14ac:dyDescent="0.25">
      <c r="H140">
        <v>137</v>
      </c>
      <c r="I140" s="15">
        <v>97440.627666225628</v>
      </c>
    </row>
    <row r="141" spans="8:9" x14ac:dyDescent="0.25">
      <c r="H141">
        <v>138</v>
      </c>
      <c r="I141" s="15">
        <v>79307.879618195439</v>
      </c>
    </row>
    <row r="142" spans="8:9" x14ac:dyDescent="0.25">
      <c r="H142">
        <v>139</v>
      </c>
      <c r="I142" s="15">
        <v>1662.2195942934195</v>
      </c>
    </row>
    <row r="143" spans="8:9" x14ac:dyDescent="0.25">
      <c r="H143">
        <v>140</v>
      </c>
      <c r="I143" s="15">
        <v>41968.355474440439</v>
      </c>
    </row>
    <row r="144" spans="8:9" x14ac:dyDescent="0.25">
      <c r="H144">
        <v>141</v>
      </c>
      <c r="I144" s="15">
        <v>-19602.514294158493</v>
      </c>
    </row>
    <row r="145" spans="8:9" x14ac:dyDescent="0.25">
      <c r="H145">
        <v>142</v>
      </c>
      <c r="I145" s="15">
        <v>106336.87495581535</v>
      </c>
    </row>
    <row r="146" spans="8:9" x14ac:dyDescent="0.25">
      <c r="H146">
        <v>143</v>
      </c>
      <c r="I146" s="15">
        <v>-6199.3262320308422</v>
      </c>
    </row>
    <row r="147" spans="8:9" x14ac:dyDescent="0.25">
      <c r="H147">
        <v>144</v>
      </c>
      <c r="I147" s="15">
        <v>-55096.715242299659</v>
      </c>
    </row>
    <row r="148" spans="8:9" x14ac:dyDescent="0.25">
      <c r="H148">
        <v>145</v>
      </c>
      <c r="I148" s="15">
        <v>9576.9867874319025</v>
      </c>
    </row>
    <row r="149" spans="8:9" x14ac:dyDescent="0.25">
      <c r="H149">
        <v>146</v>
      </c>
      <c r="I149" s="15">
        <v>22446.447906965768</v>
      </c>
    </row>
    <row r="150" spans="8:9" x14ac:dyDescent="0.25">
      <c r="H150">
        <v>147</v>
      </c>
      <c r="I150" s="15">
        <v>54808.784662480844</v>
      </c>
    </row>
    <row r="151" spans="8:9" x14ac:dyDescent="0.25">
      <c r="H151">
        <v>148</v>
      </c>
      <c r="I151" s="15">
        <v>20140.034067431639</v>
      </c>
    </row>
    <row r="152" spans="8:9" x14ac:dyDescent="0.25">
      <c r="H152">
        <v>149</v>
      </c>
      <c r="I152" s="15">
        <v>35459.063865428179</v>
      </c>
    </row>
    <row r="153" spans="8:9" x14ac:dyDescent="0.25">
      <c r="H153">
        <v>150</v>
      </c>
      <c r="I153" s="15">
        <v>30605.751487531525</v>
      </c>
    </row>
    <row r="154" spans="8:9" x14ac:dyDescent="0.25">
      <c r="H154">
        <v>151</v>
      </c>
      <c r="I154" s="15">
        <v>47731.070010407886</v>
      </c>
    </row>
    <row r="155" spans="8:9" x14ac:dyDescent="0.25">
      <c r="H155">
        <v>152</v>
      </c>
      <c r="I155" s="15">
        <v>6858.1728649381839</v>
      </c>
    </row>
    <row r="156" spans="8:9" x14ac:dyDescent="0.25">
      <c r="H156">
        <v>153</v>
      </c>
      <c r="I156" s="15">
        <v>64405.877451220498</v>
      </c>
    </row>
    <row r="157" spans="8:9" x14ac:dyDescent="0.25">
      <c r="H157">
        <v>154</v>
      </c>
      <c r="I157" s="15">
        <v>88385.688398872735</v>
      </c>
    </row>
    <row r="158" spans="8:9" x14ac:dyDescent="0.25">
      <c r="H158">
        <v>155</v>
      </c>
      <c r="I158" s="15">
        <v>80432.558046276099</v>
      </c>
    </row>
    <row r="159" spans="8:9" x14ac:dyDescent="0.25">
      <c r="H159">
        <v>156</v>
      </c>
      <c r="I159" s="15">
        <v>-76317.466926374909</v>
      </c>
    </row>
    <row r="160" spans="8:9" x14ac:dyDescent="0.25">
      <c r="H160">
        <v>157</v>
      </c>
      <c r="I160" s="15">
        <v>58204.77680705642</v>
      </c>
    </row>
    <row r="161" spans="8:9" x14ac:dyDescent="0.25">
      <c r="H161">
        <v>158</v>
      </c>
      <c r="I161" s="15">
        <v>36948.737898691004</v>
      </c>
    </row>
    <row r="162" spans="8:9" x14ac:dyDescent="0.25">
      <c r="H162">
        <v>159</v>
      </c>
      <c r="I162" s="15">
        <v>18516.35753408054</v>
      </c>
    </row>
    <row r="163" spans="8:9" x14ac:dyDescent="0.25">
      <c r="H163">
        <v>160</v>
      </c>
      <c r="I163" s="15">
        <v>55695.960567067203</v>
      </c>
    </row>
    <row r="164" spans="8:9" x14ac:dyDescent="0.25">
      <c r="H164">
        <v>161</v>
      </c>
      <c r="I164" s="15">
        <v>28130.253520830593</v>
      </c>
    </row>
    <row r="165" spans="8:9" x14ac:dyDescent="0.25">
      <c r="H165">
        <v>162</v>
      </c>
      <c r="I165" s="15">
        <v>29599.67167594147</v>
      </c>
    </row>
    <row r="166" spans="8:9" x14ac:dyDescent="0.25">
      <c r="H166">
        <v>163</v>
      </c>
      <c r="I166" s="15">
        <v>53372.934047270741</v>
      </c>
    </row>
    <row r="167" spans="8:9" x14ac:dyDescent="0.25">
      <c r="H167">
        <v>164</v>
      </c>
      <c r="I167" s="15">
        <v>28796.265542021894</v>
      </c>
    </row>
    <row r="168" spans="8:9" x14ac:dyDescent="0.25">
      <c r="H168">
        <v>165</v>
      </c>
      <c r="I168" s="15">
        <v>-9491.8488108414458</v>
      </c>
    </row>
    <row r="169" spans="8:9" x14ac:dyDescent="0.25">
      <c r="H169">
        <v>166</v>
      </c>
      <c r="I169" s="15">
        <v>96678.652076775557</v>
      </c>
    </row>
    <row r="170" spans="8:9" x14ac:dyDescent="0.25">
      <c r="H170">
        <v>167</v>
      </c>
      <c r="I170" s="15">
        <v>102739.86989737427</v>
      </c>
    </row>
    <row r="171" spans="8:9" x14ac:dyDescent="0.25">
      <c r="H171">
        <v>168</v>
      </c>
      <c r="I171" s="15">
        <v>7962.4447906003625</v>
      </c>
    </row>
    <row r="172" spans="8:9" x14ac:dyDescent="0.25">
      <c r="H172">
        <v>169</v>
      </c>
      <c r="I172" s="15">
        <v>68647.242627245665</v>
      </c>
    </row>
    <row r="173" spans="8:9" x14ac:dyDescent="0.25">
      <c r="H173">
        <v>170</v>
      </c>
      <c r="I173" s="15">
        <v>29546.112400415092</v>
      </c>
    </row>
    <row r="174" spans="8:9" x14ac:dyDescent="0.25">
      <c r="H174">
        <v>171</v>
      </c>
      <c r="I174" s="15">
        <v>-15559.39071552438</v>
      </c>
    </row>
    <row r="175" spans="8:9" x14ac:dyDescent="0.25">
      <c r="H175">
        <v>172</v>
      </c>
      <c r="I175" s="15">
        <v>12106.44010948608</v>
      </c>
    </row>
    <row r="176" spans="8:9" x14ac:dyDescent="0.25">
      <c r="H176">
        <v>173</v>
      </c>
      <c r="I176" s="15">
        <v>56111.577863500454</v>
      </c>
    </row>
    <row r="177" spans="8:9" x14ac:dyDescent="0.25">
      <c r="H177">
        <v>174</v>
      </c>
      <c r="I177" s="15">
        <v>34301.334448318026</v>
      </c>
    </row>
    <row r="178" spans="8:9" x14ac:dyDescent="0.25">
      <c r="H178">
        <v>175</v>
      </c>
      <c r="I178" s="15">
        <v>6737.3202874361887</v>
      </c>
    </row>
    <row r="179" spans="8:9" x14ac:dyDescent="0.25">
      <c r="H179">
        <v>176</v>
      </c>
      <c r="I179" s="15">
        <v>24757.846069045248</v>
      </c>
    </row>
    <row r="180" spans="8:9" x14ac:dyDescent="0.25">
      <c r="H180">
        <v>177</v>
      </c>
      <c r="I180" s="15">
        <v>109056.73047663285</v>
      </c>
    </row>
    <row r="181" spans="8:9" x14ac:dyDescent="0.25">
      <c r="H181">
        <v>178</v>
      </c>
      <c r="I181" s="15">
        <v>1345.2558753417106</v>
      </c>
    </row>
    <row r="182" spans="8:9" x14ac:dyDescent="0.25">
      <c r="H182">
        <v>179</v>
      </c>
      <c r="I182" s="15">
        <v>65733.142539140303</v>
      </c>
    </row>
    <row r="183" spans="8:9" x14ac:dyDescent="0.25">
      <c r="H183">
        <v>180</v>
      </c>
      <c r="I183" s="15">
        <v>68667.931069763436</v>
      </c>
    </row>
    <row r="184" spans="8:9" x14ac:dyDescent="0.25">
      <c r="H184">
        <v>181</v>
      </c>
      <c r="I184" s="15">
        <v>-21519.593471112807</v>
      </c>
    </row>
    <row r="185" spans="8:9" x14ac:dyDescent="0.25">
      <c r="H185">
        <v>182</v>
      </c>
      <c r="I185" s="15">
        <v>103877.95940964011</v>
      </c>
    </row>
    <row r="186" spans="8:9" x14ac:dyDescent="0.25">
      <c r="H186">
        <v>183</v>
      </c>
      <c r="I186" s="15">
        <v>-824.73651332341251</v>
      </c>
    </row>
    <row r="187" spans="8:9" x14ac:dyDescent="0.25">
      <c r="H187">
        <v>184</v>
      </c>
      <c r="I187" s="15">
        <v>-70740.327910229185</v>
      </c>
    </row>
    <row r="188" spans="8:9" x14ac:dyDescent="0.25">
      <c r="H188">
        <v>185</v>
      </c>
      <c r="I188" s="15">
        <v>98295.408226845291</v>
      </c>
    </row>
    <row r="189" spans="8:9" x14ac:dyDescent="0.25">
      <c r="H189">
        <v>186</v>
      </c>
      <c r="I189" s="15">
        <v>-1212.0687114394968</v>
      </c>
    </row>
    <row r="190" spans="8:9" x14ac:dyDescent="0.25">
      <c r="H190">
        <v>187</v>
      </c>
      <c r="I190" s="15">
        <v>35868.198457435617</v>
      </c>
    </row>
    <row r="191" spans="8:9" x14ac:dyDescent="0.25">
      <c r="H191">
        <v>188</v>
      </c>
      <c r="I191" s="15">
        <v>36630.573998985754</v>
      </c>
    </row>
    <row r="192" spans="8:9" x14ac:dyDescent="0.25">
      <c r="H192">
        <v>189</v>
      </c>
      <c r="I192" s="15">
        <v>56885.721542250947</v>
      </c>
    </row>
    <row r="193" spans="8:9" x14ac:dyDescent="0.25">
      <c r="H193">
        <v>190</v>
      </c>
      <c r="I193" s="15">
        <v>69931.024933071429</v>
      </c>
    </row>
    <row r="194" spans="8:9" x14ac:dyDescent="0.25">
      <c r="H194">
        <v>191</v>
      </c>
      <c r="I194" s="15">
        <v>57014.386531008466</v>
      </c>
    </row>
    <row r="195" spans="8:9" x14ac:dyDescent="0.25">
      <c r="H195">
        <v>192</v>
      </c>
      <c r="I195" s="15">
        <v>96555.836851118627</v>
      </c>
    </row>
    <row r="196" spans="8:9" x14ac:dyDescent="0.25">
      <c r="H196">
        <v>193</v>
      </c>
      <c r="I196" s="15">
        <v>33933.491447511653</v>
      </c>
    </row>
    <row r="197" spans="8:9" x14ac:dyDescent="0.25">
      <c r="H197">
        <v>194</v>
      </c>
      <c r="I197" s="15">
        <v>32377.474550731902</v>
      </c>
    </row>
    <row r="198" spans="8:9" x14ac:dyDescent="0.25">
      <c r="H198">
        <v>195</v>
      </c>
      <c r="I198" s="15">
        <v>26534.877433615562</v>
      </c>
    </row>
    <row r="199" spans="8:9" x14ac:dyDescent="0.25">
      <c r="H199">
        <v>196</v>
      </c>
      <c r="I199" s="15">
        <v>63110.732453276665</v>
      </c>
    </row>
    <row r="200" spans="8:9" x14ac:dyDescent="0.25">
      <c r="H200">
        <v>197</v>
      </c>
      <c r="I200" s="15">
        <v>62737.351096206025</v>
      </c>
    </row>
    <row r="201" spans="8:9" x14ac:dyDescent="0.25">
      <c r="H201">
        <v>198</v>
      </c>
      <c r="I201" s="15">
        <v>-773.37435862669372</v>
      </c>
    </row>
    <row r="202" spans="8:9" x14ac:dyDescent="0.25">
      <c r="H202">
        <v>199</v>
      </c>
      <c r="I202" s="15">
        <v>39265.655262220331</v>
      </c>
    </row>
    <row r="203" spans="8:9" x14ac:dyDescent="0.25">
      <c r="H203">
        <v>200</v>
      </c>
      <c r="I203" s="15">
        <v>-39163.9139636732</v>
      </c>
    </row>
    <row r="204" spans="8:9" x14ac:dyDescent="0.25">
      <c r="H204">
        <v>201</v>
      </c>
      <c r="I204" s="15">
        <v>27605.463538369018</v>
      </c>
    </row>
    <row r="205" spans="8:9" x14ac:dyDescent="0.25">
      <c r="H205">
        <v>202</v>
      </c>
      <c r="I205" s="15">
        <v>26309.704938858893</v>
      </c>
    </row>
    <row r="206" spans="8:9" x14ac:dyDescent="0.25">
      <c r="H206">
        <v>203</v>
      </c>
      <c r="I206" s="15">
        <v>-1808.8653436567984</v>
      </c>
    </row>
    <row r="207" spans="8:9" x14ac:dyDescent="0.25">
      <c r="H207">
        <v>204</v>
      </c>
      <c r="I207" s="15">
        <v>-10043.972824333934</v>
      </c>
    </row>
    <row r="208" spans="8:9" x14ac:dyDescent="0.25">
      <c r="H208">
        <v>205</v>
      </c>
      <c r="I208" s="15">
        <v>20492.437246925314</v>
      </c>
    </row>
    <row r="209" spans="8:9" x14ac:dyDescent="0.25">
      <c r="H209">
        <v>206</v>
      </c>
      <c r="I209" s="15">
        <v>-49122.529409168346</v>
      </c>
    </row>
    <row r="210" spans="8:9" x14ac:dyDescent="0.25">
      <c r="H210">
        <v>207</v>
      </c>
      <c r="I210" s="15">
        <v>-13051.12878898863</v>
      </c>
    </row>
    <row r="211" spans="8:9" x14ac:dyDescent="0.25">
      <c r="H211">
        <v>208</v>
      </c>
      <c r="I211" s="15">
        <v>88816.638434628214</v>
      </c>
    </row>
    <row r="212" spans="8:9" x14ac:dyDescent="0.25">
      <c r="H212">
        <v>209</v>
      </c>
      <c r="I212" s="15">
        <v>53687.460333253257</v>
      </c>
    </row>
    <row r="213" spans="8:9" x14ac:dyDescent="0.25">
      <c r="H213">
        <v>210</v>
      </c>
      <c r="I213" s="15">
        <v>-25588.321062892443</v>
      </c>
    </row>
    <row r="214" spans="8:9" x14ac:dyDescent="0.25">
      <c r="H214">
        <v>211</v>
      </c>
      <c r="I214" s="15">
        <v>-16586.51092680014</v>
      </c>
    </row>
    <row r="215" spans="8:9" x14ac:dyDescent="0.25">
      <c r="H215">
        <v>212</v>
      </c>
      <c r="I215" s="15">
        <v>14644.113385641744</v>
      </c>
    </row>
    <row r="216" spans="8:9" x14ac:dyDescent="0.25">
      <c r="H216">
        <v>213</v>
      </c>
      <c r="I216" s="15">
        <v>20221.727476941131</v>
      </c>
    </row>
    <row r="217" spans="8:9" x14ac:dyDescent="0.25">
      <c r="H217">
        <v>214</v>
      </c>
      <c r="I217" s="15">
        <v>51601.974158717057</v>
      </c>
    </row>
    <row r="218" spans="8:9" x14ac:dyDescent="0.25">
      <c r="H218">
        <v>215</v>
      </c>
      <c r="I218" s="15">
        <v>96046.61523451854</v>
      </c>
    </row>
    <row r="219" spans="8:9" x14ac:dyDescent="0.25">
      <c r="H219">
        <v>216</v>
      </c>
      <c r="I219" s="15">
        <v>38550.240857034019</v>
      </c>
    </row>
    <row r="220" spans="8:9" x14ac:dyDescent="0.25">
      <c r="H220">
        <v>217</v>
      </c>
      <c r="I220" s="15">
        <v>-4450.2622697584156</v>
      </c>
    </row>
    <row r="221" spans="8:9" x14ac:dyDescent="0.25">
      <c r="H221">
        <v>218</v>
      </c>
      <c r="I221" s="15">
        <v>50974.09282634221</v>
      </c>
    </row>
    <row r="222" spans="8:9" x14ac:dyDescent="0.25">
      <c r="H222">
        <v>219</v>
      </c>
      <c r="I222" s="15">
        <v>-44918.842835706018</v>
      </c>
    </row>
    <row r="223" spans="8:9" x14ac:dyDescent="0.25">
      <c r="H223">
        <v>220</v>
      </c>
      <c r="I223" s="15">
        <v>13597.753940166614</v>
      </c>
    </row>
    <row r="224" spans="8:9" x14ac:dyDescent="0.25">
      <c r="H224">
        <v>221</v>
      </c>
      <c r="I224" s="15">
        <v>41233.520898067945</v>
      </c>
    </row>
    <row r="225" spans="8:9" x14ac:dyDescent="0.25">
      <c r="H225">
        <v>222</v>
      </c>
      <c r="I225" s="15">
        <v>107703.07405903889</v>
      </c>
    </row>
    <row r="226" spans="8:9" x14ac:dyDescent="0.25">
      <c r="H226">
        <v>223</v>
      </c>
      <c r="I226" s="15">
        <v>54672.596871176938</v>
      </c>
    </row>
    <row r="227" spans="8:9" x14ac:dyDescent="0.25">
      <c r="H227">
        <v>224</v>
      </c>
      <c r="I227" s="15">
        <v>43698.485137455922</v>
      </c>
    </row>
    <row r="228" spans="8:9" x14ac:dyDescent="0.25">
      <c r="H228">
        <v>225</v>
      </c>
      <c r="I228" s="15">
        <v>17489.272000899335</v>
      </c>
    </row>
    <row r="229" spans="8:9" x14ac:dyDescent="0.25">
      <c r="H229">
        <v>226</v>
      </c>
      <c r="I229" s="15">
        <v>34702.744760814181</v>
      </c>
    </row>
    <row r="230" spans="8:9" x14ac:dyDescent="0.25">
      <c r="H230">
        <v>227</v>
      </c>
      <c r="I230" s="15">
        <v>140838.19105131042</v>
      </c>
    </row>
    <row r="231" spans="8:9" x14ac:dyDescent="0.25">
      <c r="H231">
        <v>228</v>
      </c>
      <c r="I231" s="15">
        <v>40410.945099176315</v>
      </c>
    </row>
    <row r="232" spans="8:9" x14ac:dyDescent="0.25">
      <c r="H232">
        <v>229</v>
      </c>
      <c r="I232" s="15">
        <v>68663.019360120874</v>
      </c>
    </row>
    <row r="233" spans="8:9" x14ac:dyDescent="0.25">
      <c r="H233">
        <v>230</v>
      </c>
      <c r="I233" s="15">
        <v>-6326.5718582842092</v>
      </c>
    </row>
    <row r="234" spans="8:9" x14ac:dyDescent="0.25">
      <c r="H234">
        <v>231</v>
      </c>
      <c r="I234" s="15">
        <v>60473.384693307773</v>
      </c>
    </row>
    <row r="235" spans="8:9" x14ac:dyDescent="0.25">
      <c r="H235">
        <v>232</v>
      </c>
      <c r="I235" s="15">
        <v>35948.258378431725</v>
      </c>
    </row>
    <row r="236" spans="8:9" x14ac:dyDescent="0.25">
      <c r="H236">
        <v>233</v>
      </c>
      <c r="I236" s="15">
        <v>61148.219169020333</v>
      </c>
    </row>
    <row r="237" spans="8:9" x14ac:dyDescent="0.25">
      <c r="H237">
        <v>234</v>
      </c>
      <c r="I237" s="15">
        <v>-14266.015953182621</v>
      </c>
    </row>
    <row r="238" spans="8:9" x14ac:dyDescent="0.25">
      <c r="H238">
        <v>235</v>
      </c>
      <c r="I238" s="15">
        <v>50676.82796583086</v>
      </c>
    </row>
    <row r="239" spans="8:9" x14ac:dyDescent="0.25">
      <c r="H239">
        <v>236</v>
      </c>
      <c r="I239" s="15">
        <v>60673.814137149981</v>
      </c>
    </row>
    <row r="240" spans="8:9" x14ac:dyDescent="0.25">
      <c r="H240">
        <v>237</v>
      </c>
      <c r="I240" s="15">
        <v>43796.230514595693</v>
      </c>
    </row>
    <row r="241" spans="8:9" x14ac:dyDescent="0.25">
      <c r="H241">
        <v>238</v>
      </c>
      <c r="I241" s="15">
        <v>-28894.461560800701</v>
      </c>
    </row>
    <row r="242" spans="8:9" x14ac:dyDescent="0.25">
      <c r="H242">
        <v>239</v>
      </c>
      <c r="I242" s="15">
        <v>31791.892997974734</v>
      </c>
    </row>
    <row r="243" spans="8:9" x14ac:dyDescent="0.25">
      <c r="H243">
        <v>240</v>
      </c>
      <c r="I243" s="15">
        <v>51894.658096398402</v>
      </c>
    </row>
    <row r="244" spans="8:9" x14ac:dyDescent="0.25">
      <c r="H244">
        <v>241</v>
      </c>
      <c r="I244" s="15">
        <v>71934.580338912201</v>
      </c>
    </row>
    <row r="245" spans="8:9" x14ac:dyDescent="0.25">
      <c r="H245">
        <v>242</v>
      </c>
      <c r="I245" s="15">
        <v>-19356.470480899938</v>
      </c>
    </row>
    <row r="246" spans="8:9" x14ac:dyDescent="0.25">
      <c r="H246">
        <v>243</v>
      </c>
      <c r="I246" s="15">
        <v>-38559.181617587281</v>
      </c>
    </row>
    <row r="247" spans="8:9" x14ac:dyDescent="0.25">
      <c r="H247">
        <v>244</v>
      </c>
      <c r="I247" s="15">
        <v>43618.897121826973</v>
      </c>
    </row>
    <row r="248" spans="8:9" x14ac:dyDescent="0.25">
      <c r="H248">
        <v>245</v>
      </c>
      <c r="I248" s="15">
        <v>54655.017618817306</v>
      </c>
    </row>
    <row r="249" spans="8:9" x14ac:dyDescent="0.25">
      <c r="H249">
        <v>246</v>
      </c>
      <c r="I249" s="15">
        <v>40400.066538672312</v>
      </c>
    </row>
    <row r="250" spans="8:9" x14ac:dyDescent="0.25">
      <c r="H250">
        <v>247</v>
      </c>
      <c r="I250" s="15">
        <v>-9952.6328533139313</v>
      </c>
    </row>
    <row r="251" spans="8:9" x14ac:dyDescent="0.25">
      <c r="H251">
        <v>248</v>
      </c>
      <c r="I251" s="15">
        <v>71283.512429755327</v>
      </c>
    </row>
    <row r="252" spans="8:9" x14ac:dyDescent="0.25">
      <c r="H252">
        <v>249</v>
      </c>
      <c r="I252" s="15">
        <v>70391.709697115512</v>
      </c>
    </row>
    <row r="253" spans="8:9" x14ac:dyDescent="0.25">
      <c r="H253">
        <v>250</v>
      </c>
      <c r="I253" s="15">
        <v>49734.84434822388</v>
      </c>
    </row>
    <row r="254" spans="8:9" x14ac:dyDescent="0.25">
      <c r="H254">
        <v>251</v>
      </c>
      <c r="I254" s="15">
        <v>89914.93498581661</v>
      </c>
    </row>
    <row r="255" spans="8:9" x14ac:dyDescent="0.25">
      <c r="H255">
        <v>252</v>
      </c>
      <c r="I255" s="15">
        <v>-8258.5073573838745</v>
      </c>
    </row>
    <row r="256" spans="8:9" x14ac:dyDescent="0.25">
      <c r="H256">
        <v>253</v>
      </c>
      <c r="I256" s="15">
        <v>1114.9904384314723</v>
      </c>
    </row>
    <row r="257" spans="8:9" x14ac:dyDescent="0.25">
      <c r="H257">
        <v>254</v>
      </c>
      <c r="I257" s="15">
        <v>41351.377777076326</v>
      </c>
    </row>
    <row r="258" spans="8:9" x14ac:dyDescent="0.25">
      <c r="H258">
        <v>255</v>
      </c>
      <c r="I258" s="15">
        <v>-38520.881837012887</v>
      </c>
    </row>
    <row r="259" spans="8:9" x14ac:dyDescent="0.25">
      <c r="H259">
        <v>256</v>
      </c>
      <c r="I259" s="15">
        <v>-28193.15209720307</v>
      </c>
    </row>
    <row r="260" spans="8:9" x14ac:dyDescent="0.25">
      <c r="H260">
        <v>257</v>
      </c>
      <c r="I260" s="15">
        <v>37168.799970064778</v>
      </c>
    </row>
    <row r="261" spans="8:9" x14ac:dyDescent="0.25">
      <c r="H261">
        <v>258</v>
      </c>
      <c r="I261" s="15">
        <v>101875.75836255954</v>
      </c>
    </row>
    <row r="262" spans="8:9" x14ac:dyDescent="0.25">
      <c r="H262">
        <v>259</v>
      </c>
      <c r="I262" s="15">
        <v>58344.0818811192</v>
      </c>
    </row>
    <row r="263" spans="8:9" x14ac:dyDescent="0.25">
      <c r="H263">
        <v>260</v>
      </c>
      <c r="I263" s="15">
        <v>18276.234348712867</v>
      </c>
    </row>
    <row r="264" spans="8:9" x14ac:dyDescent="0.25">
      <c r="H264">
        <v>261</v>
      </c>
      <c r="I264" s="15">
        <v>43161.181625453173</v>
      </c>
    </row>
    <row r="265" spans="8:9" x14ac:dyDescent="0.25">
      <c r="H265">
        <v>262</v>
      </c>
      <c r="I265" s="15">
        <v>74257.288136045463</v>
      </c>
    </row>
    <row r="266" spans="8:9" x14ac:dyDescent="0.25">
      <c r="H266">
        <v>263</v>
      </c>
      <c r="I266" s="15">
        <v>70082.803758477879</v>
      </c>
    </row>
    <row r="267" spans="8:9" x14ac:dyDescent="0.25">
      <c r="H267">
        <v>264</v>
      </c>
      <c r="I267" s="15">
        <v>29623.574793140026</v>
      </c>
    </row>
    <row r="268" spans="8:9" x14ac:dyDescent="0.25">
      <c r="H268">
        <v>265</v>
      </c>
      <c r="I268" s="15">
        <v>98673.582562977652</v>
      </c>
    </row>
    <row r="269" spans="8:9" x14ac:dyDescent="0.25">
      <c r="H269">
        <v>266</v>
      </c>
      <c r="I269" s="15">
        <v>52504.14852426367</v>
      </c>
    </row>
    <row r="270" spans="8:9" x14ac:dyDescent="0.25">
      <c r="H270">
        <v>267</v>
      </c>
      <c r="I270" s="15">
        <v>13382.141053656582</v>
      </c>
    </row>
    <row r="271" spans="8:9" x14ac:dyDescent="0.25">
      <c r="H271">
        <v>268</v>
      </c>
      <c r="I271" s="15">
        <v>61645.780350158369</v>
      </c>
    </row>
    <row r="272" spans="8:9" x14ac:dyDescent="0.25">
      <c r="H272">
        <v>269</v>
      </c>
      <c r="I272" s="15">
        <v>42839.117821976746</v>
      </c>
    </row>
    <row r="273" spans="8:9" x14ac:dyDescent="0.25">
      <c r="H273">
        <v>270</v>
      </c>
      <c r="I273" s="15">
        <v>77245.78386768054</v>
      </c>
    </row>
    <row r="274" spans="8:9" x14ac:dyDescent="0.25">
      <c r="H274">
        <v>271</v>
      </c>
      <c r="I274" s="15">
        <v>143503.40604519326</v>
      </c>
    </row>
    <row r="275" spans="8:9" x14ac:dyDescent="0.25">
      <c r="H275">
        <v>272</v>
      </c>
      <c r="I275" s="15">
        <v>49142.948775872937</v>
      </c>
    </row>
    <row r="276" spans="8:9" x14ac:dyDescent="0.25">
      <c r="H276">
        <v>273</v>
      </c>
      <c r="I276" s="15">
        <v>-11428.356904808257</v>
      </c>
    </row>
    <row r="277" spans="8:9" x14ac:dyDescent="0.25">
      <c r="H277">
        <v>274</v>
      </c>
      <c r="I277" s="15">
        <v>-9633.1216960375023</v>
      </c>
    </row>
    <row r="278" spans="8:9" x14ac:dyDescent="0.25">
      <c r="H278">
        <v>275</v>
      </c>
      <c r="I278" s="15">
        <v>28367.746570905845</v>
      </c>
    </row>
    <row r="279" spans="8:9" x14ac:dyDescent="0.25">
      <c r="H279">
        <v>276</v>
      </c>
      <c r="I279" s="15">
        <v>-16568.128787502705</v>
      </c>
    </row>
    <row r="280" spans="8:9" x14ac:dyDescent="0.25">
      <c r="H280">
        <v>277</v>
      </c>
      <c r="I280" s="15">
        <v>11819.841605214955</v>
      </c>
    </row>
    <row r="281" spans="8:9" x14ac:dyDescent="0.25">
      <c r="H281">
        <v>278</v>
      </c>
      <c r="I281" s="15">
        <v>57990.833560400424</v>
      </c>
    </row>
    <row r="282" spans="8:9" x14ac:dyDescent="0.25">
      <c r="H282">
        <v>279</v>
      </c>
      <c r="I282" s="15">
        <v>57200.454532020754</v>
      </c>
    </row>
    <row r="283" spans="8:9" x14ac:dyDescent="0.25">
      <c r="H283">
        <v>280</v>
      </c>
      <c r="I283" s="15">
        <v>71980.642369403329</v>
      </c>
    </row>
    <row r="284" spans="8:9" x14ac:dyDescent="0.25">
      <c r="H284">
        <v>281</v>
      </c>
      <c r="I284" s="15">
        <v>32103.128421578527</v>
      </c>
    </row>
    <row r="285" spans="8:9" x14ac:dyDescent="0.25">
      <c r="H285">
        <v>282</v>
      </c>
      <c r="I285" s="15">
        <v>62482.361493209028</v>
      </c>
    </row>
    <row r="286" spans="8:9" x14ac:dyDescent="0.25">
      <c r="H286">
        <v>283</v>
      </c>
      <c r="I286" s="15">
        <v>61572.552375032159</v>
      </c>
    </row>
    <row r="287" spans="8:9" x14ac:dyDescent="0.25">
      <c r="H287">
        <v>284</v>
      </c>
      <c r="I287" s="15">
        <v>52911.835179438902</v>
      </c>
    </row>
    <row r="288" spans="8:9" x14ac:dyDescent="0.25">
      <c r="H288">
        <v>285</v>
      </c>
      <c r="I288" s="15">
        <v>32723.866937165556</v>
      </c>
    </row>
    <row r="289" spans="8:9" x14ac:dyDescent="0.25">
      <c r="H289">
        <v>286</v>
      </c>
      <c r="I289" s="15">
        <v>70135.574760121439</v>
      </c>
    </row>
    <row r="290" spans="8:9" x14ac:dyDescent="0.25">
      <c r="H290">
        <v>287</v>
      </c>
      <c r="I290" s="15">
        <v>30159.252631646144</v>
      </c>
    </row>
    <row r="291" spans="8:9" x14ac:dyDescent="0.25">
      <c r="H291">
        <v>288</v>
      </c>
      <c r="I291" s="15">
        <v>-9279.5539038921415</v>
      </c>
    </row>
    <row r="292" spans="8:9" x14ac:dyDescent="0.25">
      <c r="H292">
        <v>289</v>
      </c>
      <c r="I292" s="15">
        <v>-1721.6232348027115</v>
      </c>
    </row>
    <row r="293" spans="8:9" x14ac:dyDescent="0.25">
      <c r="H293">
        <v>290</v>
      </c>
      <c r="I293" s="15">
        <v>-15334.573336836038</v>
      </c>
    </row>
    <row r="294" spans="8:9" x14ac:dyDescent="0.25">
      <c r="H294">
        <v>291</v>
      </c>
      <c r="I294" s="15">
        <v>51083.206067945517</v>
      </c>
    </row>
    <row r="295" spans="8:9" x14ac:dyDescent="0.25">
      <c r="H295">
        <v>292</v>
      </c>
      <c r="I295" s="15">
        <v>52576.672772935621</v>
      </c>
    </row>
    <row r="296" spans="8:9" x14ac:dyDescent="0.25">
      <c r="H296">
        <v>293</v>
      </c>
      <c r="I296" s="15">
        <v>95.925552029948449</v>
      </c>
    </row>
    <row r="297" spans="8:9" x14ac:dyDescent="0.25">
      <c r="H297">
        <v>294</v>
      </c>
      <c r="I297" s="15">
        <v>-6082.0066735418804</v>
      </c>
    </row>
    <row r="298" spans="8:9" x14ac:dyDescent="0.25">
      <c r="H298">
        <v>295</v>
      </c>
      <c r="I298" s="15">
        <v>45205.781560305855</v>
      </c>
    </row>
    <row r="299" spans="8:9" x14ac:dyDescent="0.25">
      <c r="H299">
        <v>296</v>
      </c>
      <c r="I299" s="15">
        <v>10205.00952104287</v>
      </c>
    </row>
    <row r="300" spans="8:9" x14ac:dyDescent="0.25">
      <c r="H300">
        <v>297</v>
      </c>
      <c r="I300" s="15">
        <v>-10151.551819633809</v>
      </c>
    </row>
    <row r="301" spans="8:9" x14ac:dyDescent="0.25">
      <c r="H301">
        <v>298</v>
      </c>
      <c r="I301" s="15">
        <v>84766.193072674461</v>
      </c>
    </row>
    <row r="302" spans="8:9" x14ac:dyDescent="0.25">
      <c r="H302">
        <v>299</v>
      </c>
      <c r="I302" s="15">
        <v>3763.7607517591969</v>
      </c>
    </row>
    <row r="303" spans="8:9" x14ac:dyDescent="0.25">
      <c r="H303">
        <v>300</v>
      </c>
      <c r="I303" s="15">
        <v>29182.160477848927</v>
      </c>
    </row>
    <row r="304" spans="8:9" x14ac:dyDescent="0.25">
      <c r="H304">
        <v>301</v>
      </c>
      <c r="I304" s="15">
        <v>47592.155353464797</v>
      </c>
    </row>
    <row r="305" spans="8:9" x14ac:dyDescent="0.25">
      <c r="H305">
        <v>302</v>
      </c>
      <c r="I305" s="15">
        <v>-47073.720919940504</v>
      </c>
    </row>
    <row r="306" spans="8:9" x14ac:dyDescent="0.25">
      <c r="H306">
        <v>303</v>
      </c>
      <c r="I306" s="15">
        <v>-25125.14707640541</v>
      </c>
    </row>
    <row r="307" spans="8:9" x14ac:dyDescent="0.25">
      <c r="H307">
        <v>304</v>
      </c>
      <c r="I307" s="15">
        <v>56566.247774898424</v>
      </c>
    </row>
    <row r="308" spans="8:9" x14ac:dyDescent="0.25">
      <c r="H308">
        <v>305</v>
      </c>
      <c r="I308" s="15">
        <v>93092.579221533335</v>
      </c>
    </row>
    <row r="309" spans="8:9" x14ac:dyDescent="0.25">
      <c r="H309">
        <v>306</v>
      </c>
      <c r="I309" s="15">
        <v>4161.22001675918</v>
      </c>
    </row>
    <row r="310" spans="8:9" x14ac:dyDescent="0.25">
      <c r="H310">
        <v>307</v>
      </c>
      <c r="I310" s="15">
        <v>35381.32766554167</v>
      </c>
    </row>
    <row r="311" spans="8:9" x14ac:dyDescent="0.25">
      <c r="H311">
        <v>308</v>
      </c>
      <c r="I311" s="15">
        <v>42645.318322703068</v>
      </c>
    </row>
    <row r="312" spans="8:9" x14ac:dyDescent="0.25">
      <c r="H312">
        <v>309</v>
      </c>
      <c r="I312" s="15">
        <v>22882.50100072255</v>
      </c>
    </row>
    <row r="313" spans="8:9" x14ac:dyDescent="0.25">
      <c r="H313">
        <v>310</v>
      </c>
      <c r="I313" s="15">
        <v>10838.721880101511</v>
      </c>
    </row>
    <row r="314" spans="8:9" x14ac:dyDescent="0.25">
      <c r="H314">
        <v>311</v>
      </c>
      <c r="I314" s="15">
        <v>15062.807749574102</v>
      </c>
    </row>
    <row r="315" spans="8:9" x14ac:dyDescent="0.25">
      <c r="H315">
        <v>312</v>
      </c>
      <c r="I315" s="15">
        <v>28868.012073594728</v>
      </c>
    </row>
    <row r="316" spans="8:9" x14ac:dyDescent="0.25">
      <c r="H316">
        <v>313</v>
      </c>
      <c r="I316" s="15">
        <v>35726.536131126282</v>
      </c>
    </row>
    <row r="317" spans="8:9" x14ac:dyDescent="0.25">
      <c r="H317">
        <v>314</v>
      </c>
      <c r="I317" s="15">
        <v>34409.372286041355</v>
      </c>
    </row>
    <row r="318" spans="8:9" x14ac:dyDescent="0.25">
      <c r="H318">
        <v>315</v>
      </c>
      <c r="I318" s="15">
        <v>-1097.2195473903848</v>
      </c>
    </row>
    <row r="319" spans="8:9" x14ac:dyDescent="0.25">
      <c r="H319">
        <v>316</v>
      </c>
      <c r="I319" s="15">
        <v>83269.665838612738</v>
      </c>
    </row>
    <row r="320" spans="8:9" x14ac:dyDescent="0.25">
      <c r="H320">
        <v>317</v>
      </c>
      <c r="I320" s="15">
        <v>-20430.812359083269</v>
      </c>
    </row>
    <row r="321" spans="8:9" x14ac:dyDescent="0.25">
      <c r="H321">
        <v>318</v>
      </c>
      <c r="I321" s="15">
        <v>61897.400491383887</v>
      </c>
    </row>
    <row r="322" spans="8:9" x14ac:dyDescent="0.25">
      <c r="H322">
        <v>319</v>
      </c>
      <c r="I322" s="15">
        <v>-16682.714534471248</v>
      </c>
    </row>
    <row r="323" spans="8:9" x14ac:dyDescent="0.25">
      <c r="H323">
        <v>320</v>
      </c>
      <c r="I323" s="15">
        <v>91862.77897263231</v>
      </c>
    </row>
    <row r="324" spans="8:9" x14ac:dyDescent="0.25">
      <c r="H324">
        <v>321</v>
      </c>
      <c r="I324" s="15">
        <v>45406.000698178483</v>
      </c>
    </row>
    <row r="325" spans="8:9" x14ac:dyDescent="0.25">
      <c r="H325">
        <v>322</v>
      </c>
      <c r="I325" s="15">
        <v>29148.434898609557</v>
      </c>
    </row>
    <row r="326" spans="8:9" x14ac:dyDescent="0.25">
      <c r="H326">
        <v>323</v>
      </c>
      <c r="I326" s="15">
        <v>-21173.031487729517</v>
      </c>
    </row>
    <row r="327" spans="8:9" x14ac:dyDescent="0.25">
      <c r="H327">
        <v>324</v>
      </c>
      <c r="I327" s="15">
        <v>56568.592284955841</v>
      </c>
    </row>
    <row r="328" spans="8:9" x14ac:dyDescent="0.25">
      <c r="H328">
        <v>325</v>
      </c>
      <c r="I328" s="15">
        <v>33294.063733717776</v>
      </c>
    </row>
    <row r="329" spans="8:9" x14ac:dyDescent="0.25">
      <c r="H329">
        <v>326</v>
      </c>
      <c r="I329" s="15">
        <v>-7096.5521562783688</v>
      </c>
    </row>
    <row r="330" spans="8:9" x14ac:dyDescent="0.25">
      <c r="H330">
        <v>327</v>
      </c>
      <c r="I330" s="15">
        <v>107370.2199419539</v>
      </c>
    </row>
    <row r="331" spans="8:9" x14ac:dyDescent="0.25">
      <c r="H331">
        <v>328</v>
      </c>
      <c r="I331" s="15">
        <v>115821.34808192609</v>
      </c>
    </row>
    <row r="332" spans="8:9" x14ac:dyDescent="0.25">
      <c r="H332">
        <v>329</v>
      </c>
      <c r="I332" s="15">
        <v>32372.331568459515</v>
      </c>
    </row>
    <row r="333" spans="8:9" x14ac:dyDescent="0.25">
      <c r="H333">
        <v>330</v>
      </c>
      <c r="I333" s="15">
        <v>78582.334831621207</v>
      </c>
    </row>
    <row r="334" spans="8:9" x14ac:dyDescent="0.25">
      <c r="H334">
        <v>331</v>
      </c>
      <c r="I334" s="15">
        <v>54771.417013746977</v>
      </c>
    </row>
    <row r="335" spans="8:9" x14ac:dyDescent="0.25">
      <c r="H335">
        <v>332</v>
      </c>
      <c r="I335" s="15">
        <v>-14807.863829622365</v>
      </c>
    </row>
    <row r="336" spans="8:9" x14ac:dyDescent="0.25">
      <c r="H336">
        <v>333</v>
      </c>
      <c r="I336" s="15">
        <v>85017.160351582832</v>
      </c>
    </row>
    <row r="337" spans="8:9" x14ac:dyDescent="0.25">
      <c r="H337">
        <v>334</v>
      </c>
      <c r="I337" s="15">
        <v>-78703.17108851418</v>
      </c>
    </row>
    <row r="338" spans="8:9" x14ac:dyDescent="0.25">
      <c r="H338">
        <v>335</v>
      </c>
      <c r="I338" s="15">
        <v>9504.0739704025327</v>
      </c>
    </row>
    <row r="339" spans="8:9" x14ac:dyDescent="0.25">
      <c r="H339">
        <v>336</v>
      </c>
      <c r="I339" s="15">
        <v>12913.17099287879</v>
      </c>
    </row>
    <row r="340" spans="8:9" x14ac:dyDescent="0.25">
      <c r="H340">
        <v>337</v>
      </c>
      <c r="I340" s="15">
        <v>47145.006947811256</v>
      </c>
    </row>
    <row r="341" spans="8:9" x14ac:dyDescent="0.25">
      <c r="H341">
        <v>338</v>
      </c>
      <c r="I341" s="15">
        <v>-6393.3319342573523</v>
      </c>
    </row>
    <row r="342" spans="8:9" x14ac:dyDescent="0.25">
      <c r="H342">
        <v>339</v>
      </c>
      <c r="I342" s="15">
        <v>23774.078794679139</v>
      </c>
    </row>
    <row r="343" spans="8:9" x14ac:dyDescent="0.25">
      <c r="H343">
        <v>340</v>
      </c>
      <c r="I343" s="15">
        <v>-1970.5642320195038</v>
      </c>
    </row>
    <row r="344" spans="8:9" x14ac:dyDescent="0.25">
      <c r="H344">
        <v>341</v>
      </c>
      <c r="I344" s="15">
        <v>1347.3395301332348</v>
      </c>
    </row>
    <row r="345" spans="8:9" x14ac:dyDescent="0.25">
      <c r="H345">
        <v>342</v>
      </c>
      <c r="I345" s="15">
        <v>41571.306373852334</v>
      </c>
    </row>
    <row r="346" spans="8:9" x14ac:dyDescent="0.25">
      <c r="H346">
        <v>343</v>
      </c>
      <c r="I346" s="15">
        <v>-9854.2331235557212</v>
      </c>
    </row>
    <row r="347" spans="8:9" x14ac:dyDescent="0.25">
      <c r="H347">
        <v>344</v>
      </c>
      <c r="I347" s="15">
        <v>-37707.463881403673</v>
      </c>
    </row>
    <row r="348" spans="8:9" x14ac:dyDescent="0.25">
      <c r="H348">
        <v>345</v>
      </c>
      <c r="I348" s="15">
        <v>34518.763554988051</v>
      </c>
    </row>
    <row r="349" spans="8:9" x14ac:dyDescent="0.25">
      <c r="H349">
        <v>346</v>
      </c>
      <c r="I349" s="15">
        <v>89016.624966445364</v>
      </c>
    </row>
    <row r="350" spans="8:9" x14ac:dyDescent="0.25">
      <c r="H350">
        <v>347</v>
      </c>
      <c r="I350" s="15">
        <v>38480.571160711028</v>
      </c>
    </row>
    <row r="351" spans="8:9" x14ac:dyDescent="0.25">
      <c r="H351">
        <v>348</v>
      </c>
      <c r="I351" s="15">
        <v>84405.403828579729</v>
      </c>
    </row>
    <row r="352" spans="8:9" x14ac:dyDescent="0.25">
      <c r="H352">
        <v>349</v>
      </c>
      <c r="I352" s="15">
        <v>-33545.302389516321</v>
      </c>
    </row>
    <row r="353" spans="8:9" x14ac:dyDescent="0.25">
      <c r="H353">
        <v>350</v>
      </c>
      <c r="I353" s="15">
        <v>34831.03228529566</v>
      </c>
    </row>
    <row r="354" spans="8:9" x14ac:dyDescent="0.25">
      <c r="H354">
        <v>351</v>
      </c>
      <c r="I354" s="15">
        <v>-6987.7344285055588</v>
      </c>
    </row>
    <row r="355" spans="8:9" x14ac:dyDescent="0.25">
      <c r="H355">
        <v>352</v>
      </c>
      <c r="I355" s="15">
        <v>-3626.9010477609118</v>
      </c>
    </row>
    <row r="356" spans="8:9" x14ac:dyDescent="0.25">
      <c r="H356">
        <v>353</v>
      </c>
      <c r="I356" s="15">
        <v>48100.23519654345</v>
      </c>
    </row>
    <row r="357" spans="8:9" x14ac:dyDescent="0.25">
      <c r="H357">
        <v>354</v>
      </c>
      <c r="I357" s="15">
        <v>-41523.8178833157</v>
      </c>
    </row>
    <row r="358" spans="8:9" x14ac:dyDescent="0.25">
      <c r="H358">
        <v>355</v>
      </c>
      <c r="I358" s="15">
        <v>38702.523395279772</v>
      </c>
    </row>
    <row r="359" spans="8:9" x14ac:dyDescent="0.25">
      <c r="H359">
        <v>356</v>
      </c>
      <c r="I359" s="15">
        <v>104062.18262733487</v>
      </c>
    </row>
    <row r="360" spans="8:9" x14ac:dyDescent="0.25">
      <c r="H360">
        <v>357</v>
      </c>
      <c r="I360" s="15">
        <v>21770.79741659225</v>
      </c>
    </row>
    <row r="361" spans="8:9" x14ac:dyDescent="0.25">
      <c r="H361">
        <v>358</v>
      </c>
      <c r="I361" s="15">
        <v>70634.378167666582</v>
      </c>
    </row>
    <row r="362" spans="8:9" x14ac:dyDescent="0.25">
      <c r="H362">
        <v>359</v>
      </c>
      <c r="I362" s="15">
        <v>7633.7072880450287</v>
      </c>
    </row>
    <row r="363" spans="8:9" x14ac:dyDescent="0.25">
      <c r="H363">
        <v>360</v>
      </c>
      <c r="I363" s="15">
        <v>118862.43588585994</v>
      </c>
    </row>
    <row r="364" spans="8:9" x14ac:dyDescent="0.25">
      <c r="H364">
        <v>361</v>
      </c>
      <c r="I364" s="15">
        <v>47467.444422304805</v>
      </c>
    </row>
    <row r="365" spans="8:9" x14ac:dyDescent="0.25">
      <c r="H365">
        <v>362</v>
      </c>
      <c r="I365" s="15">
        <v>-30170.995450204529</v>
      </c>
    </row>
    <row r="366" spans="8:9" x14ac:dyDescent="0.25">
      <c r="H366">
        <v>363</v>
      </c>
      <c r="I366" s="15">
        <v>49996.824819420668</v>
      </c>
    </row>
    <row r="367" spans="8:9" x14ac:dyDescent="0.25">
      <c r="H367">
        <v>364</v>
      </c>
      <c r="I367" s="15">
        <v>16687.623534583981</v>
      </c>
    </row>
    <row r="368" spans="8:9" x14ac:dyDescent="0.25">
      <c r="H368">
        <v>365</v>
      </c>
      <c r="I368" s="15">
        <v>-27994.592564172519</v>
      </c>
    </row>
    <row r="369" spans="8:9" x14ac:dyDescent="0.25">
      <c r="H369">
        <v>366</v>
      </c>
      <c r="I369" s="15">
        <v>93468.711026091856</v>
      </c>
    </row>
    <row r="370" spans="8:9" x14ac:dyDescent="0.25">
      <c r="H370">
        <v>367</v>
      </c>
      <c r="I370" s="15">
        <v>51405.417170323068</v>
      </c>
    </row>
    <row r="371" spans="8:9" x14ac:dyDescent="0.25">
      <c r="H371">
        <v>368</v>
      </c>
      <c r="I371" s="15">
        <v>20198.344165907823</v>
      </c>
    </row>
    <row r="372" spans="8:9" x14ac:dyDescent="0.25">
      <c r="H372">
        <v>369</v>
      </c>
      <c r="I372" s="15">
        <v>-610.80283891787985</v>
      </c>
    </row>
    <row r="373" spans="8:9" x14ac:dyDescent="0.25">
      <c r="H373">
        <v>370</v>
      </c>
      <c r="I373" s="15">
        <v>56539.477475840918</v>
      </c>
    </row>
    <row r="374" spans="8:9" x14ac:dyDescent="0.25">
      <c r="H374">
        <v>371</v>
      </c>
      <c r="I374" s="15">
        <v>39407.540795943205</v>
      </c>
    </row>
    <row r="375" spans="8:9" x14ac:dyDescent="0.25">
      <c r="H375">
        <v>372</v>
      </c>
      <c r="I375" s="15">
        <v>-768.4121871124662</v>
      </c>
    </row>
    <row r="376" spans="8:9" x14ac:dyDescent="0.25">
      <c r="H376">
        <v>373</v>
      </c>
      <c r="I376" s="15">
        <v>59751.051414018788</v>
      </c>
    </row>
    <row r="377" spans="8:9" x14ac:dyDescent="0.25">
      <c r="H377">
        <v>374</v>
      </c>
      <c r="I377" s="15">
        <v>92963.890749424594</v>
      </c>
    </row>
    <row r="378" spans="8:9" x14ac:dyDescent="0.25">
      <c r="H378">
        <v>375</v>
      </c>
      <c r="I378" s="15">
        <v>75474.779471247341</v>
      </c>
    </row>
    <row r="379" spans="8:9" x14ac:dyDescent="0.25">
      <c r="H379">
        <v>376</v>
      </c>
      <c r="I379" s="15">
        <v>39607.539147965959</v>
      </c>
    </row>
    <row r="380" spans="8:9" x14ac:dyDescent="0.25">
      <c r="H380">
        <v>377</v>
      </c>
      <c r="I380" s="15">
        <v>35879.575244276377</v>
      </c>
    </row>
    <row r="381" spans="8:9" x14ac:dyDescent="0.25">
      <c r="H381">
        <v>378</v>
      </c>
      <c r="I381" s="15">
        <v>17671.710836781014</v>
      </c>
    </row>
    <row r="382" spans="8:9" x14ac:dyDescent="0.25">
      <c r="H382">
        <v>379</v>
      </c>
      <c r="I382" s="15">
        <v>-9986.3468984033389</v>
      </c>
    </row>
    <row r="383" spans="8:9" x14ac:dyDescent="0.25">
      <c r="H383">
        <v>380</v>
      </c>
      <c r="I383" s="15">
        <v>43567.172788131546</v>
      </c>
    </row>
    <row r="384" spans="8:9" x14ac:dyDescent="0.25">
      <c r="H384">
        <v>381</v>
      </c>
      <c r="I384" s="15">
        <v>50633.705172749265</v>
      </c>
    </row>
    <row r="385" spans="8:9" x14ac:dyDescent="0.25">
      <c r="H385">
        <v>382</v>
      </c>
      <c r="I385" s="15">
        <v>17061.432897509716</v>
      </c>
    </row>
    <row r="386" spans="8:9" x14ac:dyDescent="0.25">
      <c r="H386">
        <v>383</v>
      </c>
      <c r="I386" s="15">
        <v>46650.95843838912</v>
      </c>
    </row>
    <row r="387" spans="8:9" x14ac:dyDescent="0.25">
      <c r="H387">
        <v>384</v>
      </c>
      <c r="I387" s="15">
        <v>42884.419940428925</v>
      </c>
    </row>
    <row r="388" spans="8:9" x14ac:dyDescent="0.25">
      <c r="H388">
        <v>385</v>
      </c>
      <c r="I388" s="15">
        <v>-21120.009113723791</v>
      </c>
    </row>
    <row r="389" spans="8:9" x14ac:dyDescent="0.25">
      <c r="H389">
        <v>386</v>
      </c>
      <c r="I389" s="15">
        <v>90881.997140771156</v>
      </c>
    </row>
    <row r="390" spans="8:9" x14ac:dyDescent="0.25">
      <c r="H390">
        <v>387</v>
      </c>
      <c r="I390" s="15">
        <v>33412.272953998385</v>
      </c>
    </row>
    <row r="391" spans="8:9" x14ac:dyDescent="0.25">
      <c r="H391">
        <v>388</v>
      </c>
      <c r="I391" s="15">
        <v>-10590.262531246059</v>
      </c>
    </row>
    <row r="392" spans="8:9" x14ac:dyDescent="0.25">
      <c r="H392">
        <v>389</v>
      </c>
      <c r="I392" s="15">
        <v>31961.215792346891</v>
      </c>
    </row>
    <row r="393" spans="8:9" x14ac:dyDescent="0.25">
      <c r="H393">
        <v>390</v>
      </c>
      <c r="I393" s="15">
        <v>-6589.7062557564932</v>
      </c>
    </row>
    <row r="394" spans="8:9" x14ac:dyDescent="0.25">
      <c r="H394">
        <v>391</v>
      </c>
      <c r="I394" s="15">
        <v>48135.129079007136</v>
      </c>
    </row>
    <row r="395" spans="8:9" x14ac:dyDescent="0.25">
      <c r="H395">
        <v>392</v>
      </c>
      <c r="I395" s="15">
        <v>-31699.105194490665</v>
      </c>
    </row>
    <row r="396" spans="8:9" x14ac:dyDescent="0.25">
      <c r="H396">
        <v>393</v>
      </c>
      <c r="I396" s="15">
        <v>-13218.036605883273</v>
      </c>
    </row>
    <row r="397" spans="8:9" x14ac:dyDescent="0.25">
      <c r="H397">
        <v>394</v>
      </c>
      <c r="I397" s="15">
        <v>34850.190461383056</v>
      </c>
    </row>
    <row r="398" spans="8:9" x14ac:dyDescent="0.25">
      <c r="H398">
        <v>395</v>
      </c>
      <c r="I398" s="15">
        <v>102884.00164984098</v>
      </c>
    </row>
    <row r="399" spans="8:9" x14ac:dyDescent="0.25">
      <c r="H399">
        <v>396</v>
      </c>
      <c r="I399" s="15">
        <v>29533.162806121196</v>
      </c>
    </row>
    <row r="400" spans="8:9" x14ac:dyDescent="0.25">
      <c r="H400">
        <v>397</v>
      </c>
      <c r="I400" s="15">
        <v>-7684.3370102855843</v>
      </c>
    </row>
    <row r="401" spans="8:9" x14ac:dyDescent="0.25">
      <c r="H401">
        <v>398</v>
      </c>
      <c r="I401" s="15">
        <v>-19638.316796110739</v>
      </c>
    </row>
    <row r="402" spans="8:9" x14ac:dyDescent="0.25">
      <c r="H402">
        <v>399</v>
      </c>
      <c r="I402" s="15">
        <v>14459.177159325074</v>
      </c>
    </row>
    <row r="403" spans="8:9" x14ac:dyDescent="0.25">
      <c r="H403">
        <v>400</v>
      </c>
      <c r="I403" s="15">
        <v>50061.429792515555</v>
      </c>
    </row>
    <row r="404" spans="8:9" x14ac:dyDescent="0.25">
      <c r="H404">
        <v>401</v>
      </c>
      <c r="I404" s="15">
        <v>57911.967381962662</v>
      </c>
    </row>
    <row r="405" spans="8:9" x14ac:dyDescent="0.25">
      <c r="H405">
        <v>402</v>
      </c>
      <c r="I405" s="15">
        <v>98410.251276689683</v>
      </c>
    </row>
    <row r="406" spans="8:9" x14ac:dyDescent="0.25">
      <c r="H406">
        <v>403</v>
      </c>
      <c r="I406" s="15">
        <v>55260.967907984596</v>
      </c>
    </row>
    <row r="407" spans="8:9" x14ac:dyDescent="0.25">
      <c r="H407">
        <v>404</v>
      </c>
      <c r="I407" s="15">
        <v>8874.1250062141044</v>
      </c>
    </row>
    <row r="408" spans="8:9" x14ac:dyDescent="0.25">
      <c r="H408">
        <v>405</v>
      </c>
      <c r="I408" s="15">
        <v>87415.135393539706</v>
      </c>
    </row>
    <row r="409" spans="8:9" x14ac:dyDescent="0.25">
      <c r="H409">
        <v>406</v>
      </c>
      <c r="I409" s="15">
        <v>77107.08501543451</v>
      </c>
    </row>
    <row r="410" spans="8:9" x14ac:dyDescent="0.25">
      <c r="H410">
        <v>407</v>
      </c>
      <c r="I410" s="15">
        <v>5973.29192992975</v>
      </c>
    </row>
    <row r="411" spans="8:9" x14ac:dyDescent="0.25">
      <c r="H411">
        <v>408</v>
      </c>
      <c r="I411" s="15">
        <v>52930.062303153682</v>
      </c>
    </row>
    <row r="412" spans="8:9" x14ac:dyDescent="0.25">
      <c r="H412">
        <v>409</v>
      </c>
      <c r="I412" s="15">
        <v>45021.92540571955</v>
      </c>
    </row>
    <row r="413" spans="8:9" x14ac:dyDescent="0.25">
      <c r="H413">
        <v>410</v>
      </c>
      <c r="I413" s="15">
        <v>86050.00822234308</v>
      </c>
    </row>
    <row r="414" spans="8:9" x14ac:dyDescent="0.25">
      <c r="H414">
        <v>411</v>
      </c>
      <c r="I414" s="15">
        <v>90420.625685397419</v>
      </c>
    </row>
    <row r="415" spans="8:9" x14ac:dyDescent="0.25">
      <c r="H415">
        <v>412</v>
      </c>
      <c r="I415" s="15">
        <v>18598.751045269804</v>
      </c>
    </row>
    <row r="416" spans="8:9" x14ac:dyDescent="0.25">
      <c r="H416">
        <v>413</v>
      </c>
      <c r="I416" s="15">
        <v>-100792.46920087779</v>
      </c>
    </row>
    <row r="417" spans="8:9" x14ac:dyDescent="0.25">
      <c r="H417">
        <v>414</v>
      </c>
      <c r="I417" s="15">
        <v>153594.54629433202</v>
      </c>
    </row>
    <row r="418" spans="8:9" x14ac:dyDescent="0.25">
      <c r="H418">
        <v>415</v>
      </c>
      <c r="I418" s="15">
        <v>38941.300102345762</v>
      </c>
    </row>
    <row r="419" spans="8:9" x14ac:dyDescent="0.25">
      <c r="H419">
        <v>416</v>
      </c>
      <c r="I419" s="15">
        <v>-12999.144881311775</v>
      </c>
    </row>
    <row r="420" spans="8:9" x14ac:dyDescent="0.25">
      <c r="H420">
        <v>417</v>
      </c>
      <c r="I420" s="15">
        <v>33780.058602966019</v>
      </c>
    </row>
    <row r="421" spans="8:9" x14ac:dyDescent="0.25">
      <c r="H421">
        <v>418</v>
      </c>
      <c r="I421" s="15">
        <v>60134.135277836467</v>
      </c>
    </row>
    <row r="422" spans="8:9" x14ac:dyDescent="0.25">
      <c r="H422">
        <v>419</v>
      </c>
      <c r="I422" s="15">
        <v>106615.74573930958</v>
      </c>
    </row>
    <row r="423" spans="8:9" x14ac:dyDescent="0.25">
      <c r="H423">
        <v>420</v>
      </c>
      <c r="I423" s="15">
        <v>92133.172271009913</v>
      </c>
    </row>
    <row r="424" spans="8:9" x14ac:dyDescent="0.25">
      <c r="H424">
        <v>421</v>
      </c>
      <c r="I424" s="15">
        <v>20987.554376593209</v>
      </c>
    </row>
    <row r="425" spans="8:9" x14ac:dyDescent="0.25">
      <c r="H425">
        <v>422</v>
      </c>
      <c r="I425" s="15">
        <v>23991.733093047776</v>
      </c>
    </row>
    <row r="426" spans="8:9" x14ac:dyDescent="0.25">
      <c r="H426">
        <v>423</v>
      </c>
      <c r="I426" s="15">
        <v>52327.450689931866</v>
      </c>
    </row>
    <row r="427" spans="8:9" x14ac:dyDescent="0.25">
      <c r="H427">
        <v>424</v>
      </c>
      <c r="I427" s="15">
        <v>128141.9489641237</v>
      </c>
    </row>
    <row r="428" spans="8:9" x14ac:dyDescent="0.25">
      <c r="H428">
        <v>425</v>
      </c>
      <c r="I428" s="15">
        <v>59756.650065585825</v>
      </c>
    </row>
    <row r="429" spans="8:9" x14ac:dyDescent="0.25">
      <c r="H429">
        <v>426</v>
      </c>
      <c r="I429" s="15">
        <v>67409.177904329408</v>
      </c>
    </row>
    <row r="430" spans="8:9" x14ac:dyDescent="0.25">
      <c r="H430">
        <v>427</v>
      </c>
      <c r="I430" s="15">
        <v>81616.133486588311</v>
      </c>
    </row>
    <row r="431" spans="8:9" x14ac:dyDescent="0.25">
      <c r="H431">
        <v>428</v>
      </c>
      <c r="I431" s="15">
        <v>56234.414845802647</v>
      </c>
    </row>
    <row r="432" spans="8:9" x14ac:dyDescent="0.25">
      <c r="H432">
        <v>429</v>
      </c>
      <c r="I432" s="15">
        <v>75400.258359637781</v>
      </c>
    </row>
    <row r="433" spans="8:9" x14ac:dyDescent="0.25">
      <c r="H433">
        <v>430</v>
      </c>
      <c r="I433" s="15">
        <v>8671.2896842657356</v>
      </c>
    </row>
    <row r="434" spans="8:9" x14ac:dyDescent="0.25">
      <c r="H434">
        <v>431</v>
      </c>
      <c r="I434" s="15">
        <v>17063.618124090572</v>
      </c>
    </row>
    <row r="435" spans="8:9" x14ac:dyDescent="0.25">
      <c r="H435">
        <v>432</v>
      </c>
      <c r="I435" s="15">
        <v>-17807.665998092329</v>
      </c>
    </row>
    <row r="436" spans="8:9" x14ac:dyDescent="0.25">
      <c r="H436">
        <v>433</v>
      </c>
      <c r="I436" s="15">
        <v>57315.522924357007</v>
      </c>
    </row>
    <row r="437" spans="8:9" x14ac:dyDescent="0.25">
      <c r="H437">
        <v>434</v>
      </c>
      <c r="I437" s="15">
        <v>-8127.1854548736592</v>
      </c>
    </row>
    <row r="438" spans="8:9" x14ac:dyDescent="0.25">
      <c r="H438">
        <v>435</v>
      </c>
      <c r="I438" s="15">
        <v>11170.368806274375</v>
      </c>
    </row>
    <row r="439" spans="8:9" x14ac:dyDescent="0.25">
      <c r="H439">
        <v>436</v>
      </c>
      <c r="I439" s="15">
        <v>69344.669401225663</v>
      </c>
    </row>
    <row r="440" spans="8:9" x14ac:dyDescent="0.25">
      <c r="H440">
        <v>437</v>
      </c>
      <c r="I440" s="15">
        <v>16260.517550180259</v>
      </c>
    </row>
    <row r="441" spans="8:9" x14ac:dyDescent="0.25">
      <c r="H441">
        <v>438</v>
      </c>
      <c r="I441" s="15">
        <v>1990.8221442710201</v>
      </c>
    </row>
    <row r="442" spans="8:9" x14ac:dyDescent="0.25">
      <c r="H442">
        <v>439</v>
      </c>
      <c r="I442" s="15">
        <v>28007.914841542835</v>
      </c>
    </row>
    <row r="443" spans="8:9" x14ac:dyDescent="0.25">
      <c r="H443">
        <v>440</v>
      </c>
      <c r="I443" s="15">
        <v>93857.517339938859</v>
      </c>
    </row>
    <row r="444" spans="8:9" x14ac:dyDescent="0.25">
      <c r="H444">
        <v>441</v>
      </c>
      <c r="I444" s="15">
        <v>48623.44442391787</v>
      </c>
    </row>
    <row r="445" spans="8:9" x14ac:dyDescent="0.25">
      <c r="H445">
        <v>442</v>
      </c>
      <c r="I445" s="15">
        <v>11931.8000404716</v>
      </c>
    </row>
    <row r="446" spans="8:9" x14ac:dyDescent="0.25">
      <c r="H446">
        <v>443</v>
      </c>
      <c r="I446" s="15">
        <v>4377.1072238093475</v>
      </c>
    </row>
    <row r="447" spans="8:9" x14ac:dyDescent="0.25">
      <c r="H447">
        <v>444</v>
      </c>
      <c r="I447" s="15">
        <v>121106.57779923073</v>
      </c>
    </row>
    <row r="448" spans="8:9" x14ac:dyDescent="0.25">
      <c r="H448">
        <v>445</v>
      </c>
      <c r="I448" s="15">
        <v>43628.888189518882</v>
      </c>
    </row>
    <row r="449" spans="8:9" x14ac:dyDescent="0.25">
      <c r="H449">
        <v>446</v>
      </c>
      <c r="I449" s="15">
        <v>40368.911197738809</v>
      </c>
    </row>
    <row r="450" spans="8:9" x14ac:dyDescent="0.25">
      <c r="H450">
        <v>447</v>
      </c>
      <c r="I450" s="15">
        <v>61205.083768708253</v>
      </c>
    </row>
    <row r="451" spans="8:9" x14ac:dyDescent="0.25">
      <c r="H451">
        <v>448</v>
      </c>
      <c r="I451" s="15">
        <v>26063.132532566349</v>
      </c>
    </row>
    <row r="452" spans="8:9" x14ac:dyDescent="0.25">
      <c r="H452">
        <v>449</v>
      </c>
      <c r="I452" s="15">
        <v>40122.907836286497</v>
      </c>
    </row>
    <row r="453" spans="8:9" x14ac:dyDescent="0.25">
      <c r="H453">
        <v>450</v>
      </c>
      <c r="I453" s="15">
        <v>50736.26778057401</v>
      </c>
    </row>
    <row r="454" spans="8:9" x14ac:dyDescent="0.25">
      <c r="H454">
        <v>451</v>
      </c>
      <c r="I454" s="15">
        <v>158873.07908118103</v>
      </c>
    </row>
    <row r="455" spans="8:9" x14ac:dyDescent="0.25">
      <c r="H455">
        <v>452</v>
      </c>
      <c r="I455" s="15">
        <v>48277.540266684518</v>
      </c>
    </row>
    <row r="456" spans="8:9" x14ac:dyDescent="0.25">
      <c r="H456">
        <v>453</v>
      </c>
      <c r="I456" s="15">
        <v>85205.590768454218</v>
      </c>
    </row>
    <row r="457" spans="8:9" x14ac:dyDescent="0.25">
      <c r="H457">
        <v>454</v>
      </c>
      <c r="I457" s="15">
        <v>-36270.041782063083</v>
      </c>
    </row>
    <row r="458" spans="8:9" x14ac:dyDescent="0.25">
      <c r="H458">
        <v>455</v>
      </c>
      <c r="I458" s="15">
        <v>19661.800154580822</v>
      </c>
    </row>
    <row r="459" spans="8:9" x14ac:dyDescent="0.25">
      <c r="H459">
        <v>456</v>
      </c>
      <c r="I459" s="15">
        <v>81924.738399820373</v>
      </c>
    </row>
    <row r="460" spans="8:9" x14ac:dyDescent="0.25">
      <c r="H460">
        <v>457</v>
      </c>
      <c r="I460" s="15">
        <v>19650.139559472096</v>
      </c>
    </row>
    <row r="461" spans="8:9" x14ac:dyDescent="0.25">
      <c r="H461">
        <v>458</v>
      </c>
      <c r="I461" s="15">
        <v>86562.006729352783</v>
      </c>
    </row>
    <row r="462" spans="8:9" x14ac:dyDescent="0.25">
      <c r="H462">
        <v>459</v>
      </c>
      <c r="I462" s="15">
        <v>5285.2584303263284</v>
      </c>
    </row>
    <row r="463" spans="8:9" x14ac:dyDescent="0.25">
      <c r="H463">
        <v>460</v>
      </c>
      <c r="I463" s="15">
        <v>30938.397492039046</v>
      </c>
    </row>
    <row r="464" spans="8:9" x14ac:dyDescent="0.25">
      <c r="H464">
        <v>461</v>
      </c>
      <c r="I464" s="15">
        <v>63261.547686290753</v>
      </c>
    </row>
    <row r="465" spans="8:9" x14ac:dyDescent="0.25">
      <c r="H465">
        <v>462</v>
      </c>
      <c r="I465" s="15">
        <v>83728.589925328808</v>
      </c>
    </row>
    <row r="466" spans="8:9" x14ac:dyDescent="0.25">
      <c r="H466">
        <v>463</v>
      </c>
      <c r="I466" s="15">
        <v>80399.52478519101</v>
      </c>
    </row>
    <row r="467" spans="8:9" x14ac:dyDescent="0.25">
      <c r="H467">
        <v>464</v>
      </c>
      <c r="I467" s="15">
        <v>8993.8552815277362</v>
      </c>
    </row>
    <row r="468" spans="8:9" x14ac:dyDescent="0.25">
      <c r="H468">
        <v>465</v>
      </c>
      <c r="I468" s="15">
        <v>-60698.849827751576</v>
      </c>
    </row>
    <row r="469" spans="8:9" x14ac:dyDescent="0.25">
      <c r="H469">
        <v>466</v>
      </c>
      <c r="I469" s="15">
        <v>-10806.881736301264</v>
      </c>
    </row>
    <row r="470" spans="8:9" x14ac:dyDescent="0.25">
      <c r="H470">
        <v>467</v>
      </c>
      <c r="I470" s="15">
        <v>87401.197916208723</v>
      </c>
    </row>
    <row r="471" spans="8:9" x14ac:dyDescent="0.25">
      <c r="H471">
        <v>468</v>
      </c>
      <c r="I471" s="15">
        <v>6478.8769784946344</v>
      </c>
    </row>
    <row r="472" spans="8:9" x14ac:dyDescent="0.25">
      <c r="H472">
        <v>469</v>
      </c>
      <c r="I472" s="15">
        <v>42449.456998745474</v>
      </c>
    </row>
    <row r="473" spans="8:9" x14ac:dyDescent="0.25">
      <c r="H473">
        <v>470</v>
      </c>
      <c r="I473" s="15">
        <v>-10299.768428772688</v>
      </c>
    </row>
    <row r="474" spans="8:9" x14ac:dyDescent="0.25">
      <c r="H474">
        <v>471</v>
      </c>
      <c r="I474" s="15">
        <v>-13555.540942995925</v>
      </c>
    </row>
    <row r="475" spans="8:9" x14ac:dyDescent="0.25">
      <c r="H475">
        <v>472</v>
      </c>
      <c r="I475" s="15">
        <v>56553.73648906892</v>
      </c>
    </row>
    <row r="476" spans="8:9" x14ac:dyDescent="0.25">
      <c r="H476">
        <v>473</v>
      </c>
      <c r="I476" s="15">
        <v>66287.013091516914</v>
      </c>
    </row>
    <row r="477" spans="8:9" x14ac:dyDescent="0.25">
      <c r="H477">
        <v>474</v>
      </c>
      <c r="I477" s="15">
        <v>59027.895583096426</v>
      </c>
    </row>
    <row r="478" spans="8:9" x14ac:dyDescent="0.25">
      <c r="H478">
        <v>475</v>
      </c>
      <c r="I478" s="15">
        <v>82028.058045516402</v>
      </c>
    </row>
    <row r="479" spans="8:9" x14ac:dyDescent="0.25">
      <c r="H479">
        <v>476</v>
      </c>
      <c r="I479" s="15">
        <v>-20710.80315298395</v>
      </c>
    </row>
    <row r="480" spans="8:9" x14ac:dyDescent="0.25">
      <c r="H480">
        <v>477</v>
      </c>
      <c r="I480" s="15">
        <v>-35227.290476657421</v>
      </c>
    </row>
    <row r="481" spans="8:9" x14ac:dyDescent="0.25">
      <c r="H481">
        <v>478</v>
      </c>
      <c r="I481" s="15">
        <v>14307.83143380456</v>
      </c>
    </row>
    <row r="482" spans="8:9" x14ac:dyDescent="0.25">
      <c r="H482">
        <v>479</v>
      </c>
      <c r="I482" s="15">
        <v>96053.214856270264</v>
      </c>
    </row>
    <row r="483" spans="8:9" x14ac:dyDescent="0.25">
      <c r="H483">
        <v>480</v>
      </c>
      <c r="I483" s="15">
        <v>-50876.369564461609</v>
      </c>
    </row>
    <row r="484" spans="8:9" x14ac:dyDescent="0.25">
      <c r="H484">
        <v>481</v>
      </c>
      <c r="I484" s="15">
        <v>108729.92653945347</v>
      </c>
    </row>
    <row r="485" spans="8:9" x14ac:dyDescent="0.25">
      <c r="H485">
        <v>482</v>
      </c>
      <c r="I485" s="15">
        <v>16269.299520487752</v>
      </c>
    </row>
    <row r="486" spans="8:9" x14ac:dyDescent="0.25">
      <c r="H486">
        <v>483</v>
      </c>
      <c r="I486" s="15">
        <v>16468.527002554183</v>
      </c>
    </row>
    <row r="487" spans="8:9" x14ac:dyDescent="0.25">
      <c r="H487">
        <v>484</v>
      </c>
      <c r="I487" s="15">
        <v>24950.887645410636</v>
      </c>
    </row>
    <row r="488" spans="8:9" x14ac:dyDescent="0.25">
      <c r="H488">
        <v>485</v>
      </c>
      <c r="I488" s="15">
        <v>-2058.3804108652985</v>
      </c>
    </row>
    <row r="489" spans="8:9" x14ac:dyDescent="0.25">
      <c r="H489">
        <v>486</v>
      </c>
      <c r="I489" s="15">
        <v>1959.0450771708856</v>
      </c>
    </row>
    <row r="490" spans="8:9" x14ac:dyDescent="0.25">
      <c r="H490">
        <v>487</v>
      </c>
      <c r="I490" s="15">
        <v>5608.982153507357</v>
      </c>
    </row>
    <row r="491" spans="8:9" x14ac:dyDescent="0.25">
      <c r="H491">
        <v>488</v>
      </c>
      <c r="I491" s="15">
        <v>47263.542050173652</v>
      </c>
    </row>
    <row r="492" spans="8:9" x14ac:dyDescent="0.25">
      <c r="H492">
        <v>489</v>
      </c>
      <c r="I492" s="15">
        <v>-22359.086209955422</v>
      </c>
    </row>
    <row r="493" spans="8:9" x14ac:dyDescent="0.25">
      <c r="H493">
        <v>490</v>
      </c>
      <c r="I493" s="15">
        <v>22440.985825771728</v>
      </c>
    </row>
    <row r="494" spans="8:9" x14ac:dyDescent="0.25">
      <c r="H494">
        <v>491</v>
      </c>
      <c r="I494" s="15">
        <v>53792.181220012339</v>
      </c>
    </row>
    <row r="495" spans="8:9" x14ac:dyDescent="0.25">
      <c r="H495">
        <v>492</v>
      </c>
      <c r="I495" s="15">
        <v>143002.54808007082</v>
      </c>
    </row>
    <row r="496" spans="8:9" x14ac:dyDescent="0.25">
      <c r="H496">
        <v>493</v>
      </c>
      <c r="I496" s="15">
        <v>4724.5322628484864</v>
      </c>
    </row>
    <row r="497" spans="8:9" x14ac:dyDescent="0.25">
      <c r="H497">
        <v>494</v>
      </c>
      <c r="I497" s="15">
        <v>11571.641566222708</v>
      </c>
    </row>
    <row r="498" spans="8:9" x14ac:dyDescent="0.25">
      <c r="H498">
        <v>495</v>
      </c>
      <c r="I498" s="15">
        <v>59539.94809135492</v>
      </c>
    </row>
    <row r="499" spans="8:9" x14ac:dyDescent="0.25">
      <c r="H499">
        <v>496</v>
      </c>
      <c r="I499" s="15">
        <v>4502.3486914026726</v>
      </c>
    </row>
    <row r="500" spans="8:9" x14ac:dyDescent="0.25">
      <c r="H500">
        <v>497</v>
      </c>
      <c r="I500" s="15">
        <v>87031.931763654895</v>
      </c>
    </row>
    <row r="501" spans="8:9" x14ac:dyDescent="0.25">
      <c r="H501">
        <v>498</v>
      </c>
      <c r="I501" s="15">
        <v>38770.88751271306</v>
      </c>
    </row>
    <row r="502" spans="8:9" x14ac:dyDescent="0.25">
      <c r="H502">
        <v>499</v>
      </c>
      <c r="I502" s="15">
        <v>47350.376826743857</v>
      </c>
    </row>
    <row r="503" spans="8:9" x14ac:dyDescent="0.25">
      <c r="H503">
        <v>500</v>
      </c>
      <c r="I503" s="15">
        <v>-7605.2311978854705</v>
      </c>
    </row>
  </sheetData>
  <conditionalFormatting sqref="I1:I1048576">
    <cfRule type="cellIs" dxfId="0" priority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calc">
                <anchor moveWithCells="1" sizeWithCells="1">
                  <from>
                    <xdr:col>4</xdr:col>
                    <xdr:colOff>7620</xdr:colOff>
                    <xdr:row>12</xdr:row>
                    <xdr:rowOff>15240</xdr:rowOff>
                  </from>
                  <to>
                    <xdr:col>6</xdr:col>
                    <xdr:colOff>152400</xdr:colOff>
                    <xdr:row>14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About</vt:lpstr>
      <vt:lpstr>Main</vt:lpstr>
      <vt:lpstr>rand_profits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Becker</dc:creator>
  <cp:lastModifiedBy>Charles Becker</cp:lastModifiedBy>
  <dcterms:created xsi:type="dcterms:W3CDTF">2020-04-08T22:43:37Z</dcterms:created>
  <dcterms:modified xsi:type="dcterms:W3CDTF">2020-04-20T18:13:17Z</dcterms:modified>
</cp:coreProperties>
</file>